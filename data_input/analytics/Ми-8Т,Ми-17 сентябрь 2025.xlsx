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28800" windowHeight="12624" tabRatio="712" activeTab="1"/>
  </bookViews>
  <sheets>
    <sheet name="Ми17 117ВС" sheetId="22" r:id="rId1"/>
    <sheet name="Ми-8Т (164) " sheetId="18" r:id="rId2"/>
  </sheets>
  <definedNames>
    <definedName name="_xlnm._FilterDatabase" localSheetId="0" hidden="1">'Ми17 117ВС'!$A$2:$K$2</definedName>
    <definedName name="_xlnm._FilterDatabase" localSheetId="1" hidden="1">'Ми-8Т (164) '!$A$2:$K$2</definedName>
  </definedNames>
  <calcPr calcId="152511"/>
</workbook>
</file>

<file path=xl/calcChain.xml><?xml version="1.0" encoding="utf-8"?>
<calcChain xmlns="http://schemas.openxmlformats.org/spreadsheetml/2006/main">
  <c r="G38" i="18" l="1"/>
  <c r="G19" i="18"/>
  <c r="G13" i="18"/>
  <c r="G10" i="18"/>
  <c r="G9" i="18"/>
  <c r="G66" i="18" l="1"/>
  <c r="G37" i="18"/>
  <c r="G33" i="18" l="1"/>
  <c r="G35" i="18"/>
  <c r="G34" i="18"/>
  <c r="G32" i="18"/>
  <c r="G36" i="18"/>
  <c r="G18" i="18" l="1"/>
  <c r="G17" i="18" l="1"/>
  <c r="G16" i="18"/>
  <c r="I51" i="22" l="1"/>
  <c r="J51" i="22" s="1"/>
  <c r="I52" i="22"/>
  <c r="J52" i="22" s="1"/>
  <c r="I53" i="22"/>
  <c r="J53" i="22" s="1"/>
  <c r="I54" i="22"/>
  <c r="J54" i="22" s="1"/>
  <c r="I55" i="22"/>
  <c r="J55" i="22" s="1"/>
  <c r="I56" i="22"/>
  <c r="J56" i="22" s="1"/>
  <c r="I57" i="22"/>
  <c r="J57" i="22" s="1"/>
  <c r="I58" i="22"/>
  <c r="J58" i="22" s="1"/>
  <c r="I59" i="22"/>
  <c r="J59" i="22" s="1"/>
  <c r="I60" i="22"/>
  <c r="J60" i="22" s="1"/>
  <c r="K17" i="22" l="1"/>
  <c r="I41" i="22" l="1"/>
  <c r="J41" i="22" s="1"/>
  <c r="G30" i="18" l="1"/>
  <c r="G31" i="18"/>
  <c r="G15" i="18"/>
  <c r="G14" i="18"/>
  <c r="G12" i="18"/>
  <c r="I7" i="22" l="1"/>
  <c r="J7" i="22" s="1"/>
  <c r="I5" i="22"/>
  <c r="J5" i="22" s="1"/>
  <c r="K51" i="22"/>
  <c r="K52" i="22"/>
  <c r="K53" i="22"/>
  <c r="K54" i="22"/>
  <c r="K55" i="22"/>
  <c r="K56" i="22"/>
  <c r="K57" i="22"/>
  <c r="K58" i="22"/>
  <c r="K59" i="22"/>
  <c r="K60" i="22"/>
  <c r="G8" i="18" l="1"/>
  <c r="G64" i="18" l="1"/>
  <c r="G26" i="18" l="1"/>
  <c r="G23" i="18"/>
  <c r="G25" i="18" l="1"/>
  <c r="G29" i="18"/>
  <c r="G21" i="18" l="1"/>
  <c r="G22" i="18"/>
  <c r="G27" i="18"/>
  <c r="G3" i="18"/>
  <c r="G7" i="18"/>
  <c r="I91" i="22" l="1"/>
  <c r="J91" i="22" s="1"/>
  <c r="I92" i="22"/>
  <c r="J92" i="22" s="1"/>
  <c r="I46" i="22"/>
  <c r="J46" i="22" s="1"/>
  <c r="I47" i="22"/>
  <c r="J47" i="22" s="1"/>
  <c r="I48" i="22"/>
  <c r="J48" i="22" s="1"/>
  <c r="I49" i="22"/>
  <c r="J49" i="22" s="1"/>
  <c r="I50" i="22"/>
  <c r="J50" i="22" s="1"/>
  <c r="I45" i="22"/>
  <c r="J45" i="22" s="1"/>
  <c r="I37" i="22"/>
  <c r="J37" i="22" s="1"/>
  <c r="I38" i="22"/>
  <c r="J38" i="22" s="1"/>
  <c r="I39" i="22"/>
  <c r="J39" i="22" s="1"/>
  <c r="I36" i="22"/>
  <c r="J36" i="22" s="1"/>
  <c r="K36" i="22" l="1"/>
  <c r="K47" i="22"/>
  <c r="K49" i="22"/>
  <c r="K48" i="22"/>
  <c r="K45" i="22"/>
  <c r="K37" i="22"/>
  <c r="K46" i="22"/>
  <c r="K50" i="22"/>
  <c r="K39" i="22"/>
  <c r="K38" i="22"/>
  <c r="I27" i="18"/>
  <c r="I29" i="18"/>
  <c r="I25" i="18"/>
  <c r="G11" i="18"/>
  <c r="I63" i="18"/>
  <c r="G63" i="18"/>
  <c r="I68" i="18"/>
  <c r="G68" i="18"/>
  <c r="J25" i="18" l="1"/>
  <c r="J63" i="18"/>
  <c r="K63" i="18" s="1"/>
  <c r="J29" i="18"/>
  <c r="J27" i="18"/>
  <c r="J68" i="18"/>
  <c r="K68" i="18" s="1"/>
  <c r="I84" i="22" l="1"/>
  <c r="J84" i="22" s="1"/>
  <c r="I51" i="18" l="1"/>
  <c r="G51" i="18"/>
  <c r="I67" i="18"/>
  <c r="G67" i="18"/>
  <c r="J67" i="18" l="1"/>
  <c r="K67" i="18" s="1"/>
  <c r="J51" i="18"/>
  <c r="K51" i="18"/>
  <c r="I35" i="18"/>
  <c r="I36" i="18"/>
  <c r="I42" i="18"/>
  <c r="I32" i="18"/>
  <c r="I34" i="18"/>
  <c r="I33" i="18"/>
  <c r="I37" i="18"/>
  <c r="I39" i="18"/>
  <c r="I38" i="18"/>
  <c r="I40" i="18"/>
  <c r="I41" i="18"/>
  <c r="I43" i="18"/>
  <c r="I44" i="18"/>
  <c r="I45" i="18"/>
  <c r="I53" i="18"/>
  <c r="I47" i="18"/>
  <c r="I56" i="18"/>
  <c r="I49" i="18"/>
  <c r="I55" i="18"/>
  <c r="I48" i="18"/>
  <c r="I57" i="18"/>
  <c r="I58" i="18"/>
  <c r="I54" i="18"/>
  <c r="I66" i="18"/>
  <c r="I64" i="18"/>
  <c r="I52" i="18"/>
  <c r="I46" i="18"/>
  <c r="I61" i="18"/>
  <c r="I50" i="18"/>
  <c r="I60" i="18"/>
  <c r="I62" i="18"/>
  <c r="I65" i="18"/>
  <c r="I30" i="18"/>
  <c r="I22" i="18"/>
  <c r="I21" i="18"/>
  <c r="I26" i="18"/>
  <c r="I23" i="18"/>
  <c r="I31" i="18"/>
  <c r="I19" i="18"/>
  <c r="I69" i="18"/>
  <c r="I70" i="18"/>
  <c r="I8" i="18"/>
  <c r="I11" i="18"/>
  <c r="I12" i="18"/>
  <c r="I9" i="18"/>
  <c r="I10" i="18"/>
  <c r="I15" i="18"/>
  <c r="I13" i="18"/>
  <c r="I14" i="18"/>
  <c r="I16" i="18"/>
  <c r="I20" i="18"/>
  <c r="I18" i="18"/>
  <c r="I17" i="18"/>
  <c r="I28" i="18"/>
  <c r="I24" i="18"/>
  <c r="I59" i="18"/>
  <c r="G50" i="18"/>
  <c r="G60" i="18"/>
  <c r="G62" i="18"/>
  <c r="G65" i="18"/>
  <c r="G52" i="18"/>
  <c r="J49" i="18" l="1"/>
  <c r="J14" i="18"/>
  <c r="J70" i="18"/>
  <c r="K70" i="18" s="1"/>
  <c r="J30" i="18"/>
  <c r="J64" i="18"/>
  <c r="J56" i="18"/>
  <c r="J38" i="18"/>
  <c r="J35" i="18"/>
  <c r="J8" i="18"/>
  <c r="J66" i="18"/>
  <c r="J16" i="18"/>
  <c r="J36" i="18"/>
  <c r="J54" i="18"/>
  <c r="J37" i="18"/>
  <c r="J59" i="18"/>
  <c r="J39" i="18"/>
  <c r="J60" i="18"/>
  <c r="J33" i="18"/>
  <c r="J22" i="18"/>
  <c r="J65" i="18"/>
  <c r="K65" i="18" s="1"/>
  <c r="J15" i="18"/>
  <c r="K15" i="18" s="1"/>
  <c r="J53" i="18"/>
  <c r="J10" i="18"/>
  <c r="J31" i="18"/>
  <c r="J9" i="18"/>
  <c r="J23" i="18"/>
  <c r="J50" i="18"/>
  <c r="J57" i="18"/>
  <c r="J44" i="18"/>
  <c r="J34" i="18"/>
  <c r="J40" i="18"/>
  <c r="J69" i="18"/>
  <c r="K69" i="18" s="1"/>
  <c r="J24" i="18"/>
  <c r="J62" i="18"/>
  <c r="K62" i="18" s="1"/>
  <c r="J28" i="18"/>
  <c r="J58" i="18"/>
  <c r="J12" i="18"/>
  <c r="J26" i="18"/>
  <c r="J61" i="18"/>
  <c r="J48" i="18"/>
  <c r="J43" i="18"/>
  <c r="J32" i="18"/>
  <c r="J52" i="18"/>
  <c r="J13" i="18"/>
  <c r="K13" i="18" s="1"/>
  <c r="J47" i="18"/>
  <c r="J19" i="18"/>
  <c r="J45" i="18"/>
  <c r="J17" i="18"/>
  <c r="J18" i="18"/>
  <c r="J20" i="18"/>
  <c r="J11" i="18"/>
  <c r="J21" i="18"/>
  <c r="J46" i="18"/>
  <c r="J55" i="18"/>
  <c r="J41" i="18"/>
  <c r="J42" i="18"/>
  <c r="K84" i="22"/>
  <c r="I90" i="22" l="1"/>
  <c r="I89" i="22"/>
  <c r="J89" i="22" s="1"/>
  <c r="I88" i="22"/>
  <c r="J88" i="22" s="1"/>
  <c r="I87" i="22"/>
  <c r="I86" i="22"/>
  <c r="I85" i="22"/>
  <c r="I78" i="22"/>
  <c r="J78" i="22" s="1"/>
  <c r="I82" i="22"/>
  <c r="J82" i="22" s="1"/>
  <c r="I80" i="22"/>
  <c r="J80" i="22" s="1"/>
  <c r="I81" i="22"/>
  <c r="J81" i="22" s="1"/>
  <c r="I83" i="22"/>
  <c r="J83" i="22" s="1"/>
  <c r="I79" i="22"/>
  <c r="J79" i="22" s="1"/>
  <c r="J90" i="22" l="1"/>
  <c r="K90" i="22" s="1"/>
  <c r="J85" i="22"/>
  <c r="K85" i="22" s="1"/>
  <c r="J86" i="22"/>
  <c r="K86" i="22" s="1"/>
  <c r="J87" i="22"/>
  <c r="K87" i="22" s="1"/>
  <c r="K89" i="22"/>
  <c r="K81" i="22"/>
  <c r="K79" i="22"/>
  <c r="I77" i="22"/>
  <c r="J77" i="22" s="1"/>
  <c r="I76" i="22"/>
  <c r="J76" i="22" s="1"/>
  <c r="I75" i="22"/>
  <c r="J75" i="22" s="1"/>
  <c r="I74" i="22"/>
  <c r="J74" i="22" s="1"/>
  <c r="K77" i="22" l="1"/>
  <c r="K76" i="22"/>
  <c r="K75" i="22"/>
  <c r="K74" i="22"/>
  <c r="K78" i="22"/>
  <c r="I73" i="22"/>
  <c r="J73" i="22" s="1"/>
  <c r="I72" i="22"/>
  <c r="J72" i="22" s="1"/>
  <c r="I71" i="22"/>
  <c r="J71" i="22" s="1"/>
  <c r="I70" i="22"/>
  <c r="J70" i="22" s="1"/>
  <c r="I69" i="22"/>
  <c r="I68" i="22"/>
  <c r="J68" i="22" s="1"/>
  <c r="I67" i="22"/>
  <c r="J67" i="22" s="1"/>
  <c r="I66" i="22"/>
  <c r="J66" i="22" s="1"/>
  <c r="I65" i="22"/>
  <c r="J65" i="22" s="1"/>
  <c r="I64" i="22"/>
  <c r="J64" i="22" s="1"/>
  <c r="I63" i="22"/>
  <c r="I62" i="22"/>
  <c r="I61" i="22"/>
  <c r="J61" i="22" s="1"/>
  <c r="I44" i="22"/>
  <c r="J44" i="22" s="1"/>
  <c r="I43" i="22"/>
  <c r="J43" i="22" s="1"/>
  <c r="I42" i="22"/>
  <c r="J42" i="22" s="1"/>
  <c r="I40" i="22"/>
  <c r="J40" i="22" s="1"/>
  <c r="I35" i="22"/>
  <c r="J35" i="22" s="1"/>
  <c r="I34" i="22"/>
  <c r="J34" i="22" s="1"/>
  <c r="I33" i="22"/>
  <c r="J33" i="22" s="1"/>
  <c r="I32" i="22"/>
  <c r="J32" i="22" s="1"/>
  <c r="I31" i="22"/>
  <c r="J31" i="22" s="1"/>
  <c r="I30" i="22"/>
  <c r="J30" i="22" s="1"/>
  <c r="I29" i="22"/>
  <c r="J29" i="22" s="1"/>
  <c r="I28" i="22"/>
  <c r="J28" i="22" s="1"/>
  <c r="I27" i="22"/>
  <c r="I26" i="22"/>
  <c r="J26" i="22" s="1"/>
  <c r="I25" i="22"/>
  <c r="K25" i="22" s="1"/>
  <c r="I24" i="22"/>
  <c r="J24" i="22" s="1"/>
  <c r="I23" i="22"/>
  <c r="J23" i="22" s="1"/>
  <c r="I22" i="22"/>
  <c r="J22" i="22" s="1"/>
  <c r="I21" i="22"/>
  <c r="J21" i="22" s="1"/>
  <c r="I20" i="22"/>
  <c r="J20" i="22" s="1"/>
  <c r="I19" i="22"/>
  <c r="J19" i="22" s="1"/>
  <c r="I18" i="22"/>
  <c r="I17" i="22"/>
  <c r="I16" i="22"/>
  <c r="J16" i="22" s="1"/>
  <c r="I15" i="22"/>
  <c r="J15" i="22" s="1"/>
  <c r="I14" i="22"/>
  <c r="I13" i="22"/>
  <c r="I12" i="22"/>
  <c r="J12" i="22" s="1"/>
  <c r="I11" i="22"/>
  <c r="J11" i="22" s="1"/>
  <c r="I10" i="22"/>
  <c r="J10" i="22" s="1"/>
  <c r="I9" i="22"/>
  <c r="J9" i="22" s="1"/>
  <c r="I8" i="22"/>
  <c r="J8" i="22" s="1"/>
  <c r="I6" i="22"/>
  <c r="J6" i="22" s="1"/>
  <c r="I4" i="22"/>
  <c r="J4" i="22" s="1"/>
  <c r="I3" i="22"/>
  <c r="J3" i="22" s="1"/>
  <c r="J13" i="22" l="1"/>
  <c r="K13" i="22" s="1"/>
  <c r="J27" i="22"/>
  <c r="K27" i="22" s="1"/>
  <c r="J62" i="22"/>
  <c r="K62" i="22" s="1"/>
  <c r="J63" i="22"/>
  <c r="K63" i="22" s="1"/>
  <c r="J14" i="22"/>
  <c r="K14" i="22" s="1"/>
  <c r="J69" i="22"/>
  <c r="K69" i="22" s="1"/>
  <c r="K72" i="22"/>
  <c r="K71" i="22"/>
  <c r="K70" i="22"/>
  <c r="K22" i="22"/>
  <c r="K20" i="22"/>
  <c r="K19" i="22"/>
  <c r="K68" i="22"/>
  <c r="K88" i="22" l="1"/>
  <c r="K64" i="22"/>
  <c r="K73" i="22"/>
  <c r="K67" i="22"/>
  <c r="K65" i="22"/>
  <c r="K66" i="22"/>
  <c r="K61" i="22"/>
  <c r="K42" i="22"/>
  <c r="K41" i="22"/>
  <c r="K40" i="22"/>
  <c r="K44" i="22"/>
  <c r="K43" i="22"/>
  <c r="G24" i="18"/>
  <c r="G28" i="18"/>
  <c r="K60" i="18" l="1"/>
  <c r="K64" i="18" l="1"/>
  <c r="K50" i="18" l="1"/>
  <c r="K29" i="18" l="1"/>
  <c r="K66" i="18"/>
  <c r="G20" i="18"/>
  <c r="K52" i="18" l="1"/>
  <c r="K92" i="22" l="1"/>
  <c r="K80" i="22"/>
  <c r="K91" i="22"/>
  <c r="K33" i="22" l="1"/>
  <c r="K5" i="22" l="1"/>
  <c r="K8" i="22"/>
  <c r="K6" i="22"/>
  <c r="K9" i="22"/>
  <c r="K27" i="18"/>
  <c r="K25" i="18"/>
  <c r="G53" i="18"/>
  <c r="G61" i="18" l="1"/>
  <c r="G54" i="18"/>
  <c r="K53" i="18" l="1"/>
  <c r="K9" i="18" l="1"/>
  <c r="G49" i="18" l="1"/>
  <c r="G48" i="18"/>
  <c r="K16" i="22" l="1"/>
  <c r="K15" i="22"/>
  <c r="G46" i="18"/>
  <c r="K32" i="22" l="1"/>
  <c r="K24" i="22"/>
  <c r="K30" i="22"/>
  <c r="K26" i="22"/>
  <c r="K7" i="22"/>
  <c r="K10" i="22"/>
  <c r="K23" i="22"/>
  <c r="K12" i="22"/>
  <c r="K28" i="22"/>
  <c r="K31" i="22"/>
  <c r="K29" i="22"/>
  <c r="K21" i="22"/>
  <c r="K4" i="22"/>
  <c r="K11" i="22"/>
  <c r="K46" i="18"/>
  <c r="K35" i="22" l="1"/>
  <c r="K34" i="22"/>
  <c r="K82" i="22" l="1"/>
  <c r="K83" i="22"/>
  <c r="K59" i="18"/>
  <c r="G44" i="18"/>
  <c r="G56" i="18"/>
  <c r="G41" i="18"/>
  <c r="G45" i="18"/>
  <c r="G40" i="18"/>
  <c r="G57" i="18"/>
  <c r="G58" i="18"/>
  <c r="G55" i="18"/>
  <c r="G47" i="18"/>
  <c r="G43" i="18" l="1"/>
  <c r="G42" i="18"/>
  <c r="G39" i="18"/>
  <c r="G6" i="18"/>
  <c r="G5" i="18"/>
  <c r="G4" i="18"/>
  <c r="G59" i="18"/>
  <c r="K55" i="18" l="1"/>
  <c r="K58" i="18"/>
  <c r="K56" i="18"/>
  <c r="K47" i="18" l="1"/>
  <c r="K49" i="18"/>
  <c r="K54" i="18"/>
  <c r="K44" i="18" l="1"/>
  <c r="K43" i="18"/>
  <c r="K48" i="18" l="1"/>
  <c r="K38" i="18"/>
  <c r="K41" i="18"/>
  <c r="K23" i="18" l="1"/>
  <c r="K40" i="18"/>
  <c r="K21" i="18"/>
  <c r="K39" i="18"/>
  <c r="K36" i="18"/>
  <c r="K32" i="18"/>
  <c r="K42" i="18"/>
  <c r="K31" i="18"/>
  <c r="K35" i="18"/>
  <c r="K30" i="18"/>
  <c r="K26" i="18"/>
  <c r="K22" i="18"/>
  <c r="K19" i="18"/>
  <c r="K24" i="18"/>
  <c r="K18" i="18"/>
  <c r="K28" i="18"/>
  <c r="K17" i="18"/>
  <c r="K14" i="18"/>
  <c r="K16" i="18"/>
  <c r="K20" i="18"/>
  <c r="K10" i="18"/>
  <c r="K12" i="18"/>
  <c r="K11" i="18"/>
  <c r="K34" i="18" l="1"/>
  <c r="K57" i="18" l="1"/>
  <c r="K61" i="18"/>
  <c r="K33" i="18"/>
  <c r="K37" i="18"/>
  <c r="K45" i="18"/>
  <c r="K8" i="18"/>
  <c r="K3" i="22" l="1"/>
</calcChain>
</file>

<file path=xl/sharedStrings.xml><?xml version="1.0" encoding="utf-8"?>
<sst xmlns="http://schemas.openxmlformats.org/spreadsheetml/2006/main" count="508" uniqueCount="270">
  <si>
    <t>Тип ВС</t>
  </si>
  <si>
    <t>Номер ВС</t>
  </si>
  <si>
    <t>Место базирования</t>
  </si>
  <si>
    <t>Дата выпуска</t>
  </si>
  <si>
    <t>Наработка ППР</t>
  </si>
  <si>
    <t>ост ППР</t>
  </si>
  <si>
    <t>Ми-8Т</t>
  </si>
  <si>
    <t>Плеханово</t>
  </si>
  <si>
    <t>RA-24171</t>
  </si>
  <si>
    <t>Хабаровск</t>
  </si>
  <si>
    <t>RA-24147</t>
  </si>
  <si>
    <t>Березово</t>
  </si>
  <si>
    <t>АРК</t>
  </si>
  <si>
    <t>RA-24126</t>
  </si>
  <si>
    <t>RA-24191</t>
  </si>
  <si>
    <t>ПАСР</t>
  </si>
  <si>
    <t>RA-24157</t>
  </si>
  <si>
    <t>Ми-8П</t>
  </si>
  <si>
    <t>RA-22922</t>
  </si>
  <si>
    <t>Сургут</t>
  </si>
  <si>
    <t>RA-24177</t>
  </si>
  <si>
    <t>RA-22891</t>
  </si>
  <si>
    <t>RA-24539</t>
  </si>
  <si>
    <t>RA-24113</t>
  </si>
  <si>
    <t>RA-22884</t>
  </si>
  <si>
    <t>RA-24125</t>
  </si>
  <si>
    <t>RA-25154</t>
  </si>
  <si>
    <t>сургут</t>
  </si>
  <si>
    <t>RA-24222</t>
  </si>
  <si>
    <t>RA-24144</t>
  </si>
  <si>
    <t>RA-24238</t>
  </si>
  <si>
    <t>RA-24689</t>
  </si>
  <si>
    <t>Бурэнерго</t>
  </si>
  <si>
    <t>RA-24223</t>
  </si>
  <si>
    <t>талакан</t>
  </si>
  <si>
    <t>RA-24105</t>
  </si>
  <si>
    <t>RA-24107</t>
  </si>
  <si>
    <t>RA-24197</t>
  </si>
  <si>
    <t>Ханты-Мансийск</t>
  </si>
  <si>
    <t>RA-24500</t>
  </si>
  <si>
    <t>RA-24287</t>
  </si>
  <si>
    <t>RA-24441</t>
  </si>
  <si>
    <t>RA-22654</t>
  </si>
  <si>
    <t>RA-24546</t>
  </si>
  <si>
    <t>RA-25161</t>
  </si>
  <si>
    <t>RA-24286</t>
  </si>
  <si>
    <t>Туруханск</t>
  </si>
  <si>
    <t>RA-24124</t>
  </si>
  <si>
    <t>RA-22778</t>
  </si>
  <si>
    <t>RA-24577</t>
  </si>
  <si>
    <t>тобольск</t>
  </si>
  <si>
    <t>RA-24246</t>
  </si>
  <si>
    <t>RA-25159</t>
  </si>
  <si>
    <t>RA-22890</t>
  </si>
  <si>
    <t>RA-24186</t>
  </si>
  <si>
    <t>RA-25537</t>
  </si>
  <si>
    <t>RA-24135</t>
  </si>
  <si>
    <t>RA-24488</t>
  </si>
  <si>
    <t>RA-24103</t>
  </si>
  <si>
    <t>RA-25145</t>
  </si>
  <si>
    <t>RA-24580</t>
  </si>
  <si>
    <t>RA-24274</t>
  </si>
  <si>
    <t>RA-22915</t>
  </si>
  <si>
    <t>Ми-8АМТ</t>
  </si>
  <si>
    <t>рампа</t>
  </si>
  <si>
    <t>RA-25489</t>
  </si>
  <si>
    <t>Ми-8МТВ-1</t>
  </si>
  <si>
    <t>RA-22435</t>
  </si>
  <si>
    <t>RA-22420</t>
  </si>
  <si>
    <t>RA-22939</t>
  </si>
  <si>
    <t>RA-22991</t>
  </si>
  <si>
    <t>Возраст</t>
  </si>
  <si>
    <t>СНЭ</t>
  </si>
  <si>
    <t>ППР</t>
  </si>
  <si>
    <t>RA-27128</t>
  </si>
  <si>
    <t>RA-22487</t>
  </si>
  <si>
    <t>RA-27068</t>
  </si>
  <si>
    <t>RA-25421</t>
  </si>
  <si>
    <t>RA-25752</t>
  </si>
  <si>
    <t>RA-27133</t>
  </si>
  <si>
    <t>RA-27024</t>
  </si>
  <si>
    <t>RA-22429</t>
  </si>
  <si>
    <t>RA-22504</t>
  </si>
  <si>
    <t>RA-25127</t>
  </si>
  <si>
    <t>RA-22579</t>
  </si>
  <si>
    <t>RA-22431</t>
  </si>
  <si>
    <t>RA-22426</t>
  </si>
  <si>
    <t>RA-22554</t>
  </si>
  <si>
    <t>RA-25558</t>
  </si>
  <si>
    <t>RA-22952</t>
  </si>
  <si>
    <t>RA-25172</t>
  </si>
  <si>
    <t>RA-25484</t>
  </si>
  <si>
    <t>RA-22476</t>
  </si>
  <si>
    <t>RA-22483</t>
  </si>
  <si>
    <t>RA-22473</t>
  </si>
  <si>
    <t>RA-27131</t>
  </si>
  <si>
    <t>RA-25751</t>
  </si>
  <si>
    <t>RA-22491</t>
  </si>
  <si>
    <t>RA-22480</t>
  </si>
  <si>
    <t>RA-22783</t>
  </si>
  <si>
    <t>RA-22806</t>
  </si>
  <si>
    <t>RA-22496</t>
  </si>
  <si>
    <t>RA-22865</t>
  </si>
  <si>
    <t>RA-22492</t>
  </si>
  <si>
    <t>RA-22801</t>
  </si>
  <si>
    <t>RA-22481</t>
  </si>
  <si>
    <t>RA-22437</t>
  </si>
  <si>
    <t>RA-22789</t>
  </si>
  <si>
    <t>RA-22876</t>
  </si>
  <si>
    <t>RA-22804</t>
  </si>
  <si>
    <t>RA-22482</t>
  </si>
  <si>
    <t>RA-22479</t>
  </si>
  <si>
    <t>RA-22489</t>
  </si>
  <si>
    <t>RA-25496</t>
  </si>
  <si>
    <t>RA-22494</t>
  </si>
  <si>
    <t>RA-22486</t>
  </si>
  <si>
    <t>RA-22417</t>
  </si>
  <si>
    <t>RA-22485</t>
  </si>
  <si>
    <t>RA-22210</t>
  </si>
  <si>
    <t>RA-27090</t>
  </si>
  <si>
    <t>RA-22425</t>
  </si>
  <si>
    <t>RA-25821</t>
  </si>
  <si>
    <t>RA-25422</t>
  </si>
  <si>
    <t>RA-25822</t>
  </si>
  <si>
    <t>RA-22211</t>
  </si>
  <si>
    <t>RA-25479</t>
  </si>
  <si>
    <t>RA-27067</t>
  </si>
  <si>
    <t>RA-22427</t>
  </si>
  <si>
    <t>RA-22978</t>
  </si>
  <si>
    <t>RA-27057</t>
  </si>
  <si>
    <t>хабаровск</t>
  </si>
  <si>
    <t xml:space="preserve">RA-25390 </t>
  </si>
  <si>
    <t xml:space="preserve">RA-24579 </t>
  </si>
  <si>
    <t>RA-25355</t>
  </si>
  <si>
    <t>RA-25963</t>
  </si>
  <si>
    <t>коментарий / доступные ВС в ЛГ</t>
  </si>
  <si>
    <t>RA-27065</t>
  </si>
  <si>
    <t>RA-24492</t>
  </si>
  <si>
    <t>RA-27104</t>
  </si>
  <si>
    <t>13 л. 11 м. 6 д.</t>
  </si>
  <si>
    <t> </t>
  </si>
  <si>
    <t>4 л. 5 м. 24 д.</t>
  </si>
  <si>
    <t>4 л. 10 м. 6 д.</t>
  </si>
  <si>
    <t>4 л. 10 м. 8 д.</t>
  </si>
  <si>
    <t>4 л. 10 м. 21 д.</t>
  </si>
  <si>
    <t>12 л. 3 м. 15 д.</t>
  </si>
  <si>
    <t>12 л. 3 м. 28 д.</t>
  </si>
  <si>
    <t>12 л. 4 м. 6 д.</t>
  </si>
  <si>
    <t>12 л. 4 м. 15 д.</t>
  </si>
  <si>
    <t>12 л. 5 м. 10 д.</t>
  </si>
  <si>
    <t>12 л. 5 м. 17 д.</t>
  </si>
  <si>
    <t>12 л. 6 м. 6 д.</t>
  </si>
  <si>
    <t>12 л. 8 м. 14 д.</t>
  </si>
  <si>
    <t>12 л. 9 м. 7 д.</t>
  </si>
  <si>
    <t>13 л. 3 м. 12 д.</t>
  </si>
  <si>
    <t>13 л. 3 м. 13 д.</t>
  </si>
  <si>
    <t>13 л. 5 м. 12 д.</t>
  </si>
  <si>
    <t>13 л. 5 м. 14 д.</t>
  </si>
  <si>
    <t>14 л. 0 м. 11 д.</t>
  </si>
  <si>
    <t>RA-22438</t>
  </si>
  <si>
    <t>15 л. 8 м. 26 д.</t>
  </si>
  <si>
    <t>RA-25229</t>
  </si>
  <si>
    <t>28 л. 10 м. 10 д.</t>
  </si>
  <si>
    <t>29 л. 9 м. 6 д.</t>
  </si>
  <si>
    <t>30 л. 3 м. 3 д.</t>
  </si>
  <si>
    <t>30 л. 4 м. 21 д.</t>
  </si>
  <si>
    <t>30 л. 4 м. 22 д.</t>
  </si>
  <si>
    <t>30 л. 5 м. 6 д.</t>
  </si>
  <si>
    <t>30 л. 6 м. 6 д.</t>
  </si>
  <si>
    <t>30 л. 9 м. 6 д.</t>
  </si>
  <si>
    <t>31 л. 0 м. 6 д.</t>
  </si>
  <si>
    <t>31 л. 4 м. 6 д.</t>
  </si>
  <si>
    <t>31 л. 6 м. 6 д.</t>
  </si>
  <si>
    <t>31 л. 11 м. 6 д.</t>
  </si>
  <si>
    <t>RA-25230</t>
  </si>
  <si>
    <t>34 л. 9 м. 6 д.</t>
  </si>
  <si>
    <t>36 л. 11 м. 6 д.</t>
  </si>
  <si>
    <t>39 л. 4 м. 11 д.</t>
  </si>
  <si>
    <t>40 л. 6 м. 6 д.</t>
  </si>
  <si>
    <t>13 л. 0 м. 7 д.</t>
  </si>
  <si>
    <t>27 л. 11 м. 15 д.</t>
  </si>
  <si>
    <t>29 л. 7 м. 9 д.</t>
  </si>
  <si>
    <t>31 л. 9 м. 26 д.</t>
  </si>
  <si>
    <t>32 л. 1 м. 6 д.</t>
  </si>
  <si>
    <t>35 л. 1 м. 6 д.</t>
  </si>
  <si>
    <t>37 л. 1 м. 6 д.</t>
  </si>
  <si>
    <t>39 л. 1 м. 6 д.</t>
  </si>
  <si>
    <t>39 л. 11 м. 6 д.</t>
  </si>
  <si>
    <t>иркутск</t>
  </si>
  <si>
    <t>RA-24592</t>
  </si>
  <si>
    <t>RA-25164</t>
  </si>
  <si>
    <t>П.Тунгуска</t>
  </si>
  <si>
    <t>RA-24505</t>
  </si>
  <si>
    <t>RA-22892</t>
  </si>
  <si>
    <t>Р</t>
  </si>
  <si>
    <t>RA-24479</t>
  </si>
  <si>
    <t>RA-24285</t>
  </si>
  <si>
    <t>RA-22556</t>
  </si>
  <si>
    <t>RA-24227</t>
  </si>
  <si>
    <t>омск</t>
  </si>
  <si>
    <t>RA-24585</t>
  </si>
  <si>
    <t>RA-24294</t>
  </si>
  <si>
    <t>RA-24120</t>
  </si>
  <si>
    <t>RA-24121</t>
  </si>
  <si>
    <t>RA-24726</t>
  </si>
  <si>
    <t>RA-22242</t>
  </si>
  <si>
    <t>RA-22245</t>
  </si>
  <si>
    <t>RA-22249</t>
  </si>
  <si>
    <t>RA-22250</t>
  </si>
  <si>
    <t>RA-22251</t>
  </si>
  <si>
    <t>RA-22254</t>
  </si>
  <si>
    <t>RA-22252</t>
  </si>
  <si>
    <t>RA-22269</t>
  </si>
  <si>
    <t>RA-22268</t>
  </si>
  <si>
    <t>RA-22655</t>
  </si>
  <si>
    <t>RA-22658</t>
  </si>
  <si>
    <t>RA-22171</t>
  </si>
  <si>
    <t>RA-22172</t>
  </si>
  <si>
    <t>RA-22179</t>
  </si>
  <si>
    <t>RA-22221</t>
  </si>
  <si>
    <t>RA-22774</t>
  </si>
  <si>
    <t>RA-22633</t>
  </si>
  <si>
    <t>RA-24593</t>
  </si>
  <si>
    <t>RA-22607</t>
  </si>
  <si>
    <t>RA-22861</t>
  </si>
  <si>
    <t>RA-24645</t>
  </si>
  <si>
    <t>подкаменная тунгуска</t>
  </si>
  <si>
    <t>ППР текущее</t>
  </si>
  <si>
    <t>ППР текущий</t>
  </si>
  <si>
    <t>ВИП</t>
  </si>
  <si>
    <t>ноябрьск</t>
  </si>
  <si>
    <t>нефтеюганск</t>
  </si>
  <si>
    <t>нерюнгри</t>
  </si>
  <si>
    <t>Охотск</t>
  </si>
  <si>
    <t>урай</t>
  </si>
  <si>
    <t>нягань</t>
  </si>
  <si>
    <t>олекменск</t>
  </si>
  <si>
    <t>нижневарт</t>
  </si>
  <si>
    <t>ленск</t>
  </si>
  <si>
    <t>усинск</t>
  </si>
  <si>
    <t>богучаны</t>
  </si>
  <si>
    <t>п48</t>
  </si>
  <si>
    <t>RA-22570</t>
  </si>
  <si>
    <t>RA-22571</t>
  </si>
  <si>
    <t>RA-22572</t>
  </si>
  <si>
    <t>RA-22581</t>
  </si>
  <si>
    <t>RA-22591</t>
  </si>
  <si>
    <t>RA-22597</t>
  </si>
  <si>
    <t>RA-22599</t>
  </si>
  <si>
    <t>авг</t>
  </si>
  <si>
    <t>сен</t>
  </si>
  <si>
    <t>для KZ</t>
  </si>
  <si>
    <t>ВСУ</t>
  </si>
  <si>
    <t>та14</t>
  </si>
  <si>
    <t>Саф</t>
  </si>
  <si>
    <t>саф</t>
  </si>
  <si>
    <t>RA-22614</t>
  </si>
  <si>
    <t>RA-22620</t>
  </si>
  <si>
    <t>RA-22610</t>
  </si>
  <si>
    <t>КСС до 13.01.2027. по КБ</t>
  </si>
  <si>
    <t>при 2400 замена КБ на 1 кат</t>
  </si>
  <si>
    <t>ПЛХ</t>
  </si>
  <si>
    <t>ремонт ВС</t>
  </si>
  <si>
    <t>братск</t>
  </si>
  <si>
    <t>не для ПСР  (ответчик/ ЛПГ недоработан и недоработать, т.к. отсутствием бюллетеня по доработке вертолетов Ми-8Т , производства У-УАЗ под установку лебедки ЛПГ-150)</t>
  </si>
  <si>
    <t>ЛТР КБ при 3500</t>
  </si>
  <si>
    <t>налет 1 ВС - 500ч в год</t>
  </si>
  <si>
    <t>турция</t>
  </si>
  <si>
    <t xml:space="preserve">налет 1 ВС - 650ч в год РФ  </t>
  </si>
  <si>
    <t>налет 1 ВС - 300ч в год ЗР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</si>
</sst>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\.mm\.yy"/>
    <numFmt numFmtId="165" formatCode="#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sz val="9"/>
      <color rgb="FF000000"/>
      <name val="Times New Roman"/>
      <family val="1"/>
      <charset val="204"/>
    </font>
    <font>
      <b/>
      <sz val="9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1"/>
      <name val="Calibri"/>
      <family val="2"/>
      <scheme val="minor"/>
    </font>
    <font>
      <sz val="11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8"/>
      <name val="Times New Roman"/>
      <family val="1"/>
      <charset val="204"/>
    </font>
    <font>
      <b/>
      <sz val="14"/>
      <name val="Times New Roman"/>
      <family val="1"/>
      <charset val="204"/>
    </font>
    <font>
      <sz val="8"/>
      <color theme="1"/>
      <name val="Times New Roman"/>
      <family val="1"/>
      <charset val="204"/>
    </font>
    <font>
      <b/>
      <i/>
      <sz val="9"/>
      <color rgb="FF00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8"/>
      <color rgb="FF000000"/>
      <name val="Times New Roman"/>
      <family val="1"/>
      <charset val="204"/>
    </font>
    <font>
      <sz val="8"/>
      <color rgb="FFFF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  <font>
      <i/>
      <sz val="8"/>
      <color theme="1"/>
      <name val="Times New Roman"/>
      <family val="1"/>
      <charset val="204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499984740745262"/>
        <bgColor indexed="64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6" fillId="11" borderId="1"/>
    <xf numFmtId="0" fontId="17" fillId="12" borderId="1">
      <alignment horizontal="left"/>
    </xf>
    <xf numFmtId="0" fontId="7" fillId="0" borderId="1">
      <alignment horizontal="left"/>
    </xf>
    <xf numFmtId="3" fontId="15" fillId="0" borderId="1">
      <alignment horizontal="right"/>
    </xf>
    <xf numFmtId="3" fontId="18" fillId="0" borderId="1">
      <alignment horizontal="right"/>
    </xf>
    <xf numFmtId="0" fontId="16" fillId="13" borderId="1"/>
    <xf numFmtId="0" fontId="17" fillId="0" borderId="1">
      <alignment horizontal="left"/>
    </xf>
    <xf numFmtId="3" fontId="17" fillId="0" borderId="1">
      <alignment horizontal="right"/>
    </xf>
    <xf numFmtId="0" fontId="19" fillId="0" borderId="1">
      <alignment horizontal="left"/>
    </xf>
  </cellStyleXfs>
  <cellXfs count="130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49" fontId="2" fillId="0" borderId="10" xfId="0" applyNumberFormat="1" applyFont="1" applyBorder="1" applyAlignment="1">
      <alignment horizontal="center" vertical="center" wrapText="1"/>
    </xf>
    <xf numFmtId="49" fontId="2" fillId="0" borderId="10" xfId="0" applyNumberFormat="1" applyFont="1" applyFill="1" applyBorder="1" applyAlignment="1">
      <alignment horizontal="center" vertical="center" wrapText="1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2" fillId="0" borderId="1" xfId="0" applyNumberFormat="1" applyFont="1" applyFill="1" applyBorder="1" applyAlignment="1">
      <alignment horizontal="center" vertical="center" wrapText="1"/>
    </xf>
    <xf numFmtId="0" fontId="3" fillId="2" borderId="15" xfId="0" applyNumberFormat="1" applyFont="1" applyFill="1" applyBorder="1" applyAlignment="1">
      <alignment horizontal="center" vertical="center" wrapText="1"/>
    </xf>
    <xf numFmtId="0" fontId="3" fillId="2" borderId="2" xfId="0" applyNumberFormat="1" applyFont="1" applyFill="1" applyBorder="1" applyAlignment="1">
      <alignment horizontal="center" vertical="center" wrapText="1"/>
    </xf>
    <xf numFmtId="165" fontId="4" fillId="0" borderId="1" xfId="0" applyNumberFormat="1" applyFont="1" applyFill="1" applyBorder="1" applyAlignment="1">
      <alignment horizontal="center" vertical="center" wrapText="1" readingOrder="1"/>
    </xf>
    <xf numFmtId="0" fontId="9" fillId="0" borderId="0" xfId="0" applyFont="1" applyAlignment="1">
      <alignment horizontal="center" vertical="center" readingOrder="1"/>
    </xf>
    <xf numFmtId="0" fontId="8" fillId="0" borderId="0" xfId="0" applyFont="1" applyAlignment="1">
      <alignment horizontal="center" vertical="center" readingOrder="1"/>
    </xf>
    <xf numFmtId="0" fontId="4" fillId="0" borderId="1" xfId="0" applyFont="1" applyFill="1" applyBorder="1" applyAlignment="1">
      <alignment horizontal="center" vertical="center" wrapText="1" readingOrder="1"/>
    </xf>
    <xf numFmtId="0" fontId="4" fillId="5" borderId="1" xfId="0" applyFont="1" applyFill="1" applyBorder="1" applyAlignment="1">
      <alignment horizontal="center" vertical="center" wrapText="1" readingOrder="1"/>
    </xf>
    <xf numFmtId="14" fontId="4" fillId="5" borderId="1" xfId="0" applyNumberFormat="1" applyFont="1" applyFill="1" applyBorder="1" applyAlignment="1">
      <alignment horizontal="center" vertical="center" wrapText="1" readingOrder="1"/>
    </xf>
    <xf numFmtId="1" fontId="4" fillId="5" borderId="1" xfId="0" applyNumberFormat="1" applyFont="1" applyFill="1" applyBorder="1" applyAlignment="1">
      <alignment horizontal="center" vertical="center" wrapText="1" readingOrder="1"/>
    </xf>
    <xf numFmtId="1" fontId="4" fillId="5" borderId="8" xfId="0" applyNumberFormat="1" applyFont="1" applyFill="1" applyBorder="1" applyAlignment="1">
      <alignment horizontal="center" vertical="center" wrapText="1" readingOrder="1"/>
    </xf>
    <xf numFmtId="14" fontId="4" fillId="0" borderId="1" xfId="0" applyNumberFormat="1" applyFont="1" applyFill="1" applyBorder="1" applyAlignment="1">
      <alignment horizontal="center" vertical="center" wrapText="1" readingOrder="1"/>
    </xf>
    <xf numFmtId="1" fontId="4" fillId="0" borderId="1" xfId="0" applyNumberFormat="1" applyFont="1" applyFill="1" applyBorder="1" applyAlignment="1">
      <alignment horizontal="center" vertical="center" wrapText="1" readingOrder="1"/>
    </xf>
    <xf numFmtId="14" fontId="4" fillId="0" borderId="8" xfId="0" applyNumberFormat="1" applyFont="1" applyFill="1" applyBorder="1" applyAlignment="1">
      <alignment horizontal="center" vertical="center" wrapText="1" readingOrder="1"/>
    </xf>
    <xf numFmtId="49" fontId="2" fillId="9" borderId="10" xfId="0" applyNumberFormat="1" applyFont="1" applyFill="1" applyBorder="1" applyAlignment="1">
      <alignment horizontal="center" vertical="center" wrapText="1"/>
    </xf>
    <xf numFmtId="1" fontId="2" fillId="9" borderId="1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/>
    </xf>
    <xf numFmtId="0" fontId="4" fillId="0" borderId="3" xfId="0" applyFont="1" applyFill="1" applyBorder="1" applyAlignment="1">
      <alignment horizontal="center" vertical="center" wrapText="1" readingOrder="1"/>
    </xf>
    <xf numFmtId="14" fontId="4" fillId="0" borderId="3" xfId="0" applyNumberFormat="1" applyFont="1" applyFill="1" applyBorder="1" applyAlignment="1">
      <alignment horizontal="center" vertical="center" wrapText="1" readingOrder="1"/>
    </xf>
    <xf numFmtId="1" fontId="4" fillId="0" borderId="3" xfId="0" applyNumberFormat="1" applyFont="1" applyFill="1" applyBorder="1" applyAlignment="1">
      <alignment horizontal="center" vertical="center" wrapText="1" readingOrder="1"/>
    </xf>
    <xf numFmtId="14" fontId="4" fillId="5" borderId="8" xfId="0" applyNumberFormat="1" applyFont="1" applyFill="1" applyBorder="1" applyAlignment="1">
      <alignment horizontal="center" vertical="center" wrapText="1" readingOrder="1"/>
    </xf>
    <xf numFmtId="165" fontId="4" fillId="0" borderId="1" xfId="0" applyNumberFormat="1" applyFont="1" applyFill="1" applyBorder="1" applyAlignment="1">
      <alignment horizontal="center" vertical="center" wrapText="1" shrinkToFit="1" readingOrder="1"/>
    </xf>
    <xf numFmtId="165" fontId="5" fillId="0" borderId="1" xfId="0" applyNumberFormat="1" applyFont="1" applyBorder="1" applyAlignment="1">
      <alignment horizontal="center" vertical="center" wrapText="1" readingOrder="1"/>
    </xf>
    <xf numFmtId="165" fontId="3" fillId="3" borderId="1" xfId="0" applyNumberFormat="1" applyFont="1" applyFill="1" applyBorder="1" applyAlignment="1">
      <alignment horizontal="center" vertical="center" wrapText="1"/>
    </xf>
    <xf numFmtId="165" fontId="5" fillId="0" borderId="1" xfId="0" applyNumberFormat="1" applyFont="1" applyFill="1" applyBorder="1" applyAlignment="1">
      <alignment horizontal="center" vertical="center" wrapText="1" readingOrder="1"/>
    </xf>
    <xf numFmtId="165" fontId="3" fillId="0" borderId="1" xfId="0" applyNumberFormat="1" applyFont="1" applyFill="1" applyBorder="1" applyAlignment="1">
      <alignment horizontal="center" vertical="center" wrapText="1"/>
    </xf>
    <xf numFmtId="1" fontId="3" fillId="7" borderId="1" xfId="0" applyNumberFormat="1" applyFont="1" applyFill="1" applyBorder="1" applyAlignment="1">
      <alignment horizontal="center" vertical="center"/>
    </xf>
    <xf numFmtId="0" fontId="5" fillId="7" borderId="12" xfId="0" applyFont="1" applyFill="1" applyBorder="1" applyAlignment="1">
      <alignment horizontal="center" vertical="center" wrapText="1" readingOrder="1"/>
    </xf>
    <xf numFmtId="0" fontId="5" fillId="7" borderId="13" xfId="0" applyFont="1" applyFill="1" applyBorder="1" applyAlignment="1">
      <alignment horizontal="center" vertical="center" wrapText="1" readingOrder="1"/>
    </xf>
    <xf numFmtId="1" fontId="3" fillId="7" borderId="8" xfId="0" applyNumberFormat="1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 wrapText="1" readingOrder="1"/>
    </xf>
    <xf numFmtId="14" fontId="4" fillId="0" borderId="22" xfId="0" applyNumberFormat="1" applyFont="1" applyFill="1" applyBorder="1" applyAlignment="1">
      <alignment horizontal="center" vertical="center" wrapText="1" readingOrder="1"/>
    </xf>
    <xf numFmtId="0" fontId="5" fillId="0" borderId="5" xfId="0" applyFont="1" applyFill="1" applyBorder="1" applyAlignment="1">
      <alignment horizontal="center" vertical="center" wrapText="1" readingOrder="1"/>
    </xf>
    <xf numFmtId="0" fontId="5" fillId="10" borderId="28" xfId="0" applyFont="1" applyFill="1" applyBorder="1" applyAlignment="1">
      <alignment horizontal="center" vertical="center" wrapText="1" readingOrder="1"/>
    </xf>
    <xf numFmtId="0" fontId="5" fillId="7" borderId="17" xfId="0" applyFont="1" applyFill="1" applyBorder="1" applyAlignment="1">
      <alignment horizontal="center" vertical="center" wrapText="1" readingOrder="1"/>
    </xf>
    <xf numFmtId="0" fontId="5" fillId="7" borderId="21" xfId="0" applyFont="1" applyFill="1" applyBorder="1" applyAlignment="1">
      <alignment horizontal="center" vertical="center" wrapText="1" readingOrder="1"/>
    </xf>
    <xf numFmtId="0" fontId="4" fillId="0" borderId="28" xfId="0" applyFont="1" applyFill="1" applyBorder="1" applyAlignment="1">
      <alignment horizontal="center" vertical="center" wrapText="1" readingOrder="1"/>
    </xf>
    <xf numFmtId="0" fontId="4" fillId="5" borderId="28" xfId="0" applyFont="1" applyFill="1" applyBorder="1" applyAlignment="1">
      <alignment horizontal="center" vertical="center" wrapText="1" readingOrder="1"/>
    </xf>
    <xf numFmtId="0" fontId="4" fillId="8" borderId="28" xfId="0" applyFont="1" applyFill="1" applyBorder="1" applyAlignment="1">
      <alignment horizontal="center" vertical="center" wrapText="1" readingOrder="1"/>
    </xf>
    <xf numFmtId="0" fontId="4" fillId="6" borderId="28" xfId="0" applyFont="1" applyFill="1" applyBorder="1" applyAlignment="1">
      <alignment horizontal="center" vertical="center" wrapText="1" readingOrder="1"/>
    </xf>
    <xf numFmtId="0" fontId="4" fillId="6" borderId="30" xfId="0" applyFont="1" applyFill="1" applyBorder="1" applyAlignment="1">
      <alignment horizontal="center" vertical="center" wrapText="1" readingOrder="1"/>
    </xf>
    <xf numFmtId="0" fontId="5" fillId="0" borderId="32" xfId="0" applyFont="1" applyFill="1" applyBorder="1" applyAlignment="1">
      <alignment horizontal="center" vertical="center" wrapText="1" readingOrder="1"/>
    </xf>
    <xf numFmtId="0" fontId="5" fillId="5" borderId="28" xfId="0" applyFont="1" applyFill="1" applyBorder="1" applyAlignment="1">
      <alignment horizontal="center" vertical="center" wrapText="1" readingOrder="1"/>
    </xf>
    <xf numFmtId="0" fontId="5" fillId="7" borderId="20" xfId="0" applyFont="1" applyFill="1" applyBorder="1" applyAlignment="1">
      <alignment horizontal="center" vertical="center" wrapText="1" readingOrder="1"/>
    </xf>
    <xf numFmtId="14" fontId="4" fillId="0" borderId="27" xfId="0" applyNumberFormat="1" applyFont="1" applyFill="1" applyBorder="1" applyAlignment="1">
      <alignment horizontal="center" vertical="center" wrapText="1" readingOrder="1"/>
    </xf>
    <xf numFmtId="14" fontId="4" fillId="5" borderId="22" xfId="0" applyNumberFormat="1" applyFont="1" applyFill="1" applyBorder="1" applyAlignment="1">
      <alignment horizontal="center" vertical="center" wrapText="1" readingOrder="1"/>
    </xf>
    <xf numFmtId="14" fontId="4" fillId="5" borderId="25" xfId="0" applyNumberFormat="1" applyFont="1" applyFill="1" applyBorder="1" applyAlignment="1">
      <alignment horizontal="center" vertical="center" wrapText="1" readingOrder="1"/>
    </xf>
    <xf numFmtId="0" fontId="5" fillId="5" borderId="5" xfId="0" applyFont="1" applyFill="1" applyBorder="1" applyAlignment="1">
      <alignment horizontal="center" vertical="center" wrapText="1" readingOrder="1"/>
    </xf>
    <xf numFmtId="0" fontId="4" fillId="8" borderId="5" xfId="0" applyFont="1" applyFill="1" applyBorder="1" applyAlignment="1">
      <alignment horizontal="center" vertical="center" wrapText="1" readingOrder="1"/>
    </xf>
    <xf numFmtId="0" fontId="3" fillId="2" borderId="31" xfId="0" applyNumberFormat="1" applyFont="1" applyFill="1" applyBorder="1" applyAlignment="1">
      <alignment horizontal="center" vertical="center" wrapText="1"/>
    </xf>
    <xf numFmtId="164" fontId="2" fillId="9" borderId="23" xfId="0" applyNumberFormat="1" applyFont="1" applyFill="1" applyBorder="1" applyAlignment="1">
      <alignment horizontal="center" vertical="center" wrapText="1"/>
    </xf>
    <xf numFmtId="164" fontId="2" fillId="0" borderId="23" xfId="0" applyNumberFormat="1" applyFont="1" applyFill="1" applyBorder="1" applyAlignment="1">
      <alignment horizontal="center" vertical="center" wrapText="1"/>
    </xf>
    <xf numFmtId="164" fontId="2" fillId="0" borderId="23" xfId="0" applyNumberFormat="1" applyFont="1" applyBorder="1" applyAlignment="1">
      <alignment horizontal="center" vertical="center" wrapText="1"/>
    </xf>
    <xf numFmtId="49" fontId="2" fillId="0" borderId="23" xfId="0" applyNumberFormat="1" applyFont="1" applyBorder="1" applyAlignment="1">
      <alignment horizontal="center" vertical="center" wrapText="1"/>
    </xf>
    <xf numFmtId="164" fontId="14" fillId="0" borderId="23" xfId="0" applyNumberFormat="1" applyFont="1" applyFill="1" applyBorder="1" applyAlignment="1">
      <alignment horizontal="center" vertical="center" wrapText="1"/>
    </xf>
    <xf numFmtId="164" fontId="3" fillId="0" borderId="23" xfId="0" applyNumberFormat="1" applyFont="1" applyBorder="1" applyAlignment="1">
      <alignment horizontal="center" vertical="center" wrapText="1"/>
    </xf>
    <xf numFmtId="164" fontId="6" fillId="0" borderId="23" xfId="0" applyNumberFormat="1" applyFont="1" applyFill="1" applyBorder="1" applyAlignment="1">
      <alignment horizontal="center" vertical="center" wrapText="1"/>
    </xf>
    <xf numFmtId="164" fontId="6" fillId="0" borderId="23" xfId="0" applyNumberFormat="1" applyFont="1" applyBorder="1" applyAlignment="1">
      <alignment horizontal="center" vertical="center" wrapText="1"/>
    </xf>
    <xf numFmtId="164" fontId="14" fillId="0" borderId="23" xfId="0" applyNumberFormat="1" applyFont="1" applyBorder="1" applyAlignment="1">
      <alignment horizontal="center" vertical="center" wrapText="1"/>
    </xf>
    <xf numFmtId="0" fontId="5" fillId="14" borderId="28" xfId="0" applyFont="1" applyFill="1" applyBorder="1" applyAlignment="1">
      <alignment horizontal="center" vertical="center" wrapText="1" readingOrder="1"/>
    </xf>
    <xf numFmtId="0" fontId="4" fillId="0" borderId="29" xfId="0" applyFont="1" applyFill="1" applyBorder="1" applyAlignment="1">
      <alignment horizontal="center" vertical="center" wrapText="1" readingOrder="1"/>
    </xf>
    <xf numFmtId="14" fontId="4" fillId="0" borderId="24" xfId="0" applyNumberFormat="1" applyFont="1" applyFill="1" applyBorder="1" applyAlignment="1">
      <alignment horizontal="center" vertical="center" wrapText="1" readingOrder="1"/>
    </xf>
    <xf numFmtId="14" fontId="4" fillId="0" borderId="7" xfId="0" applyNumberFormat="1" applyFont="1" applyFill="1" applyBorder="1" applyAlignment="1">
      <alignment horizontal="center" vertical="center" wrapText="1" readingOrder="1"/>
    </xf>
    <xf numFmtId="0" fontId="4" fillId="0" borderId="7" xfId="0" applyFont="1" applyFill="1" applyBorder="1" applyAlignment="1">
      <alignment horizontal="center" vertical="center" wrapText="1" readingOrder="1"/>
    </xf>
    <xf numFmtId="1" fontId="4" fillId="0" borderId="7" xfId="0" applyNumberFormat="1" applyFont="1" applyFill="1" applyBorder="1" applyAlignment="1">
      <alignment horizontal="center" vertical="center" wrapText="1" readingOrder="1"/>
    </xf>
    <xf numFmtId="0" fontId="20" fillId="5" borderId="1" xfId="0" applyFont="1" applyFill="1" applyBorder="1" applyAlignment="1">
      <alignment horizontal="center" vertical="center" wrapText="1" readingOrder="1"/>
    </xf>
    <xf numFmtId="0" fontId="20" fillId="5" borderId="8" xfId="0" applyFont="1" applyFill="1" applyBorder="1" applyAlignment="1">
      <alignment horizontal="center" vertical="center" wrapText="1" readingOrder="1"/>
    </xf>
    <xf numFmtId="0" fontId="21" fillId="5" borderId="1" xfId="0" applyFont="1" applyFill="1" applyBorder="1" applyAlignment="1">
      <alignment horizontal="center" vertical="center" wrapText="1" readingOrder="1"/>
    </xf>
    <xf numFmtId="1" fontId="3" fillId="7" borderId="28" xfId="0" applyNumberFormat="1" applyFont="1" applyFill="1" applyBorder="1" applyAlignment="1">
      <alignment horizontal="center" vertical="center"/>
    </xf>
    <xf numFmtId="1" fontId="3" fillId="7" borderId="30" xfId="0" applyNumberFormat="1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1" fontId="2" fillId="9" borderId="9" xfId="0" applyNumberFormat="1" applyFont="1" applyFill="1" applyBorder="1" applyAlignment="1">
      <alignment horizontal="center" vertical="center" wrapText="1"/>
    </xf>
    <xf numFmtId="1" fontId="2" fillId="9" borderId="7" xfId="0" applyNumberFormat="1" applyFont="1" applyFill="1" applyBorder="1" applyAlignment="1">
      <alignment horizontal="center" vertical="center" wrapText="1"/>
    </xf>
    <xf numFmtId="1" fontId="2" fillId="9" borderId="10" xfId="0" applyNumberFormat="1" applyFont="1" applyFill="1" applyBorder="1" applyAlignment="1">
      <alignment horizontal="center" vertical="center" wrapText="1"/>
    </xf>
    <xf numFmtId="1" fontId="12" fillId="2" borderId="1" xfId="0" applyNumberFormat="1" applyFont="1" applyFill="1" applyBorder="1" applyAlignment="1">
      <alignment horizontal="center" vertical="center" readingOrder="1"/>
    </xf>
    <xf numFmtId="1" fontId="12" fillId="14" borderId="1" xfId="0" applyNumberFormat="1" applyFont="1" applyFill="1" applyBorder="1" applyAlignment="1">
      <alignment horizontal="center" vertical="center" readingOrder="1"/>
    </xf>
    <xf numFmtId="0" fontId="12" fillId="4" borderId="10" xfId="0" applyFont="1" applyFill="1" applyBorder="1" applyAlignment="1">
      <alignment horizontal="center" vertical="center" wrapText="1" readingOrder="1"/>
    </xf>
    <xf numFmtId="1" fontId="12" fillId="2" borderId="7" xfId="0" applyNumberFormat="1" applyFont="1" applyFill="1" applyBorder="1" applyAlignment="1">
      <alignment horizontal="center" vertical="center" readingOrder="1"/>
    </xf>
    <xf numFmtId="1" fontId="12" fillId="2" borderId="8" xfId="0" applyNumberFormat="1" applyFont="1" applyFill="1" applyBorder="1" applyAlignment="1">
      <alignment horizontal="center" vertical="center" readingOrder="1"/>
    </xf>
    <xf numFmtId="49" fontId="3" fillId="0" borderId="1" xfId="0" applyNumberFormat="1" applyFont="1" applyFill="1" applyBorder="1" applyAlignment="1">
      <alignment horizontal="center" vertical="center" wrapText="1"/>
    </xf>
    <xf numFmtId="0" fontId="3" fillId="2" borderId="19" xfId="0" applyFont="1" applyFill="1" applyBorder="1" applyAlignment="1">
      <alignment horizontal="center" vertical="center" wrapText="1"/>
    </xf>
    <xf numFmtId="0" fontId="3" fillId="0" borderId="33" xfId="0" applyFont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 wrapText="1"/>
    </xf>
    <xf numFmtId="1" fontId="3" fillId="7" borderId="10" xfId="0" applyNumberFormat="1" applyFont="1" applyFill="1" applyBorder="1" applyAlignment="1">
      <alignment horizontal="center" vertical="center"/>
    </xf>
    <xf numFmtId="1" fontId="3" fillId="7" borderId="11" xfId="0" applyNumberFormat="1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3" fillId="7" borderId="29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1" fontId="12" fillId="2" borderId="22" xfId="0" applyNumberFormat="1" applyFont="1" applyFill="1" applyBorder="1" applyAlignment="1">
      <alignment horizontal="center" vertical="center" readingOrder="1"/>
    </xf>
    <xf numFmtId="1" fontId="12" fillId="14" borderId="22" xfId="0" applyNumberFormat="1" applyFont="1" applyFill="1" applyBorder="1" applyAlignment="1">
      <alignment horizontal="center" vertical="center" readingOrder="1"/>
    </xf>
    <xf numFmtId="0" fontId="12" fillId="7" borderId="17" xfId="0" applyFont="1" applyFill="1" applyBorder="1" applyAlignment="1">
      <alignment horizontal="center" vertical="center" wrapText="1" readingOrder="1"/>
    </xf>
    <xf numFmtId="1" fontId="8" fillId="2" borderId="16" xfId="0" applyNumberFormat="1" applyFont="1" applyFill="1" applyBorder="1" applyAlignment="1">
      <alignment horizontal="center" vertical="center" readingOrder="1"/>
    </xf>
    <xf numFmtId="1" fontId="8" fillId="2" borderId="5" xfId="0" applyNumberFormat="1" applyFont="1" applyFill="1" applyBorder="1" applyAlignment="1">
      <alignment horizontal="center" vertical="center" readingOrder="1"/>
    </xf>
    <xf numFmtId="1" fontId="8" fillId="2" borderId="6" xfId="0" applyNumberFormat="1" applyFont="1" applyFill="1" applyBorder="1" applyAlignment="1">
      <alignment horizontal="center" vertical="center" readingOrder="1"/>
    </xf>
    <xf numFmtId="1" fontId="8" fillId="2" borderId="26" xfId="0" applyNumberFormat="1" applyFont="1" applyFill="1" applyBorder="1" applyAlignment="1">
      <alignment horizontal="center" vertical="center" readingOrder="1"/>
    </xf>
    <xf numFmtId="0" fontId="14" fillId="5" borderId="1" xfId="0" applyFont="1" applyFill="1" applyBorder="1" applyAlignment="1">
      <alignment horizontal="center" vertical="center" wrapText="1" readingOrder="1"/>
    </xf>
    <xf numFmtId="0" fontId="20" fillId="0" borderId="5" xfId="0" applyFont="1" applyFill="1" applyBorder="1" applyAlignment="1">
      <alignment horizontal="center" vertical="center" wrapText="1" readingOrder="1"/>
    </xf>
    <xf numFmtId="0" fontId="20" fillId="14" borderId="5" xfId="0" applyFont="1" applyFill="1" applyBorder="1" applyAlignment="1">
      <alignment horizontal="center" vertical="center" wrapText="1" readingOrder="1"/>
    </xf>
    <xf numFmtId="0" fontId="20" fillId="5" borderId="5" xfId="0" applyFont="1" applyFill="1" applyBorder="1" applyAlignment="1">
      <alignment horizontal="center" vertical="center" wrapText="1" readingOrder="1"/>
    </xf>
    <xf numFmtId="0" fontId="21" fillId="0" borderId="5" xfId="0" applyFont="1" applyFill="1" applyBorder="1" applyAlignment="1">
      <alignment horizontal="center" vertical="center" wrapText="1" readingOrder="1"/>
    </xf>
    <xf numFmtId="0" fontId="22" fillId="0" borderId="5" xfId="0" applyFont="1" applyFill="1" applyBorder="1" applyAlignment="1">
      <alignment horizontal="center" vertical="center" wrapText="1" readingOrder="1"/>
    </xf>
    <xf numFmtId="1" fontId="12" fillId="2" borderId="10" xfId="0" applyNumberFormat="1" applyFont="1" applyFill="1" applyBorder="1" applyAlignment="1">
      <alignment horizontal="center" vertical="center" readingOrder="1"/>
    </xf>
    <xf numFmtId="1" fontId="12" fillId="2" borderId="11" xfId="0" applyNumberFormat="1" applyFont="1" applyFill="1" applyBorder="1" applyAlignment="1">
      <alignment horizontal="center" vertical="center" readingOrder="1"/>
    </xf>
    <xf numFmtId="0" fontId="9" fillId="0" borderId="0" xfId="0" applyFont="1" applyAlignment="1">
      <alignment horizontal="center" vertical="center" wrapText="1" readingOrder="1"/>
    </xf>
    <xf numFmtId="0" fontId="5" fillId="0" borderId="16" xfId="0" applyFont="1" applyFill="1" applyBorder="1" applyAlignment="1">
      <alignment horizontal="center" vertical="center" wrapText="1" readingOrder="1"/>
    </xf>
    <xf numFmtId="1" fontId="12" fillId="2" borderId="15" xfId="0" applyNumberFormat="1" applyFont="1" applyFill="1" applyBorder="1" applyAlignment="1">
      <alignment horizontal="center" vertical="center" readingOrder="1"/>
    </xf>
    <xf numFmtId="0" fontId="23" fillId="3" borderId="10" xfId="0" applyFont="1" applyFill="1" applyBorder="1" applyAlignment="1">
      <alignment horizontal="center" vertical="center" readingOrder="1"/>
    </xf>
    <xf numFmtId="0" fontId="2" fillId="0" borderId="33" xfId="0" applyFont="1" applyBorder="1" applyAlignment="1">
      <alignment horizontal="center" vertical="center" wrapText="1"/>
    </xf>
    <xf numFmtId="0" fontId="11" fillId="6" borderId="18" xfId="0" applyFont="1" applyFill="1" applyBorder="1" applyAlignment="1">
      <alignment horizontal="center" vertical="center"/>
    </xf>
    <xf numFmtId="0" fontId="11" fillId="6" borderId="20" xfId="0" applyFont="1" applyFill="1" applyBorder="1" applyAlignment="1">
      <alignment horizontal="center" vertical="center"/>
    </xf>
    <xf numFmtId="0" fontId="13" fillId="0" borderId="5" xfId="0" applyFont="1" applyFill="1" applyBorder="1" applyAlignment="1">
      <alignment horizontal="center" vertical="center" wrapText="1" readingOrder="1"/>
    </xf>
    <xf numFmtId="0" fontId="8" fillId="6" borderId="21" xfId="0" applyFont="1" applyFill="1" applyBorder="1" applyAlignment="1">
      <alignment horizontal="center" vertical="center" readingOrder="1"/>
    </xf>
    <xf numFmtId="0" fontId="8" fillId="6" borderId="20" xfId="0" applyFont="1" applyFill="1" applyBorder="1" applyAlignment="1">
      <alignment horizontal="center" vertical="center" readingOrder="1"/>
    </xf>
  </cellXfs>
  <cellStyles count="14">
    <cellStyle name="3.1_Calc_Number" xfId="8"/>
    <cellStyle name="3.4_Calc_Totals1" xfId="12"/>
    <cellStyle name="4.1_Reference_Numbers" xfId="9"/>
    <cellStyle name="6.1_Таблица_шапка1" xfId="10"/>
    <cellStyle name="6.2_Таблица_шапка2" xfId="5"/>
    <cellStyle name="6.4_Таблица_шапка4" xfId="6"/>
    <cellStyle name="6.6_Text_Totals" xfId="11"/>
    <cellStyle name="7.1_Body_Text" xfId="7"/>
    <cellStyle name="Комментарий" xfId="13"/>
    <cellStyle name="Обычный" xfId="0" builtinId="0"/>
    <cellStyle name="Обычный 2" xfId="4"/>
    <cellStyle name="Обычный 230" xfId="1"/>
    <cellStyle name="Обычный 86 2 2" xfId="3"/>
    <cellStyle name="Обычный 86 3" xfId="2"/>
  </cellStyles>
  <dxfs count="4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4" tint="0.39994506668294322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auto="1"/>
      </font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ill>
        <patternFill>
          <bgColor rgb="FF92D050"/>
        </patternFill>
      </fill>
    </dxf>
    <dxf>
      <fill>
        <patternFill>
          <bgColor theme="9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theme="2" tint="-0.24994659260841701"/>
        </patternFill>
      </fill>
    </dxf>
    <dxf>
      <font>
        <color rgb="FFC00000"/>
      </font>
      <fill>
        <patternFill>
          <bgColor theme="5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92"/>
  <sheetViews>
    <sheetView zoomScaleNormal="100" workbookViewId="0">
      <pane ySplit="2" topLeftCell="A3" activePane="bottomLeft" state="frozen"/>
      <selection pane="bottomLeft" activeCell="K92" sqref="K3:K92"/>
    </sheetView>
  </sheetViews>
  <sheetFormatPr defaultColWidth="9.109375" defaultRowHeight="13.8" x14ac:dyDescent="0.3"/>
  <cols>
    <col min="1" max="1" width="12.109375" style="17" customWidth="1"/>
    <col min="2" max="2" width="11.21875" style="17" customWidth="1"/>
    <col min="3" max="3" width="11.5546875" style="17" customWidth="1"/>
    <col min="4" max="4" width="4.88671875" style="17" customWidth="1"/>
    <col min="5" max="5" width="4.21875" style="17" customWidth="1"/>
    <col min="6" max="6" width="13" style="17" customWidth="1"/>
    <col min="7" max="7" width="6" style="17" customWidth="1"/>
    <col min="8" max="8" width="5.44140625" style="17" customWidth="1"/>
    <col min="9" max="9" width="9.109375" style="17" customWidth="1"/>
    <col min="10" max="11" width="4.6640625" style="17" customWidth="1"/>
    <col min="12" max="16384" width="9.109375" style="17"/>
  </cols>
  <sheetData>
    <row r="1" spans="1:11" ht="24.6" thickBot="1" x14ac:dyDescent="0.35">
      <c r="C1" s="120" t="s">
        <v>269</v>
      </c>
      <c r="F1" s="124" t="s">
        <v>268</v>
      </c>
      <c r="J1" s="128">
        <v>2025</v>
      </c>
      <c r="K1" s="129"/>
    </row>
    <row r="2" spans="1:11" s="16" customFormat="1" ht="23.4" thickBot="1" x14ac:dyDescent="0.35">
      <c r="A2" s="51" t="s">
        <v>66</v>
      </c>
      <c r="B2" s="50" t="s">
        <v>63</v>
      </c>
      <c r="C2" s="59" t="s">
        <v>3</v>
      </c>
      <c r="D2" s="50" t="s">
        <v>252</v>
      </c>
      <c r="E2" s="43" t="s">
        <v>64</v>
      </c>
      <c r="F2" s="44" t="s">
        <v>71</v>
      </c>
      <c r="G2" s="44" t="s">
        <v>72</v>
      </c>
      <c r="H2" s="44" t="s">
        <v>73</v>
      </c>
      <c r="I2" s="107" t="s">
        <v>227</v>
      </c>
      <c r="J2" s="96" t="s">
        <v>249</v>
      </c>
      <c r="K2" s="104" t="s">
        <v>250</v>
      </c>
    </row>
    <row r="3" spans="1:11" ht="12.6" customHeight="1" x14ac:dyDescent="0.3">
      <c r="A3" s="76" t="s">
        <v>140</v>
      </c>
      <c r="B3" s="121" t="s">
        <v>108</v>
      </c>
      <c r="C3" s="77">
        <v>43202</v>
      </c>
      <c r="D3" s="78" t="s">
        <v>254</v>
      </c>
      <c r="E3" s="78"/>
      <c r="F3" s="79" t="s">
        <v>141</v>
      </c>
      <c r="G3" s="80">
        <v>5077</v>
      </c>
      <c r="H3" s="80">
        <v>2505</v>
      </c>
      <c r="I3" s="108">
        <f t="shared" ref="I3:I35" si="0">H3+0</f>
        <v>2505</v>
      </c>
      <c r="J3" s="122">
        <f>I3+55</f>
        <v>2560</v>
      </c>
      <c r="K3" s="93">
        <f>J3+55</f>
        <v>2615</v>
      </c>
    </row>
    <row r="4" spans="1:11" ht="12.6" customHeight="1" x14ac:dyDescent="0.3">
      <c r="A4" s="52" t="s">
        <v>140</v>
      </c>
      <c r="B4" s="48" t="s">
        <v>102</v>
      </c>
      <c r="C4" s="47">
        <v>43202</v>
      </c>
      <c r="D4" s="34" t="s">
        <v>254</v>
      </c>
      <c r="E4" s="23"/>
      <c r="F4" s="18" t="s">
        <v>141</v>
      </c>
      <c r="G4" s="24">
        <v>5331</v>
      </c>
      <c r="H4" s="24">
        <v>1417</v>
      </c>
      <c r="I4" s="109">
        <f t="shared" si="0"/>
        <v>1417</v>
      </c>
      <c r="J4" s="118">
        <f>I4+55</f>
        <v>1472</v>
      </c>
      <c r="K4" s="90">
        <f>J4+55</f>
        <v>1527</v>
      </c>
    </row>
    <row r="5" spans="1:11" ht="12.6" customHeight="1" x14ac:dyDescent="0.3">
      <c r="A5" s="52" t="s">
        <v>140</v>
      </c>
      <c r="B5" s="48" t="s">
        <v>109</v>
      </c>
      <c r="C5" s="47">
        <v>43069</v>
      </c>
      <c r="D5" s="34" t="s">
        <v>254</v>
      </c>
      <c r="E5" s="23"/>
      <c r="F5" s="18" t="s">
        <v>142</v>
      </c>
      <c r="G5" s="24">
        <v>4624</v>
      </c>
      <c r="H5" s="24">
        <v>540</v>
      </c>
      <c r="I5" s="109">
        <f t="shared" si="0"/>
        <v>540</v>
      </c>
      <c r="J5" s="118">
        <f>I5+55</f>
        <v>595</v>
      </c>
      <c r="K5" s="90">
        <f>J5+55</f>
        <v>650</v>
      </c>
    </row>
    <row r="6" spans="1:11" ht="12.6" customHeight="1" x14ac:dyDescent="0.3">
      <c r="A6" s="52" t="s">
        <v>140</v>
      </c>
      <c r="B6" s="48" t="s">
        <v>100</v>
      </c>
      <c r="C6" s="47">
        <v>43067</v>
      </c>
      <c r="D6" s="34" t="s">
        <v>254</v>
      </c>
      <c r="E6" s="23"/>
      <c r="F6" s="18" t="s">
        <v>143</v>
      </c>
      <c r="G6" s="24">
        <v>5883</v>
      </c>
      <c r="H6" s="24">
        <v>2048</v>
      </c>
      <c r="I6" s="109">
        <f t="shared" si="0"/>
        <v>2048</v>
      </c>
      <c r="J6" s="118">
        <f>I6+55</f>
        <v>2103</v>
      </c>
      <c r="K6" s="90">
        <f>J6+55</f>
        <v>2158</v>
      </c>
    </row>
    <row r="7" spans="1:11" ht="12.6" customHeight="1" x14ac:dyDescent="0.3">
      <c r="A7" s="52" t="s">
        <v>140</v>
      </c>
      <c r="B7" s="48" t="s">
        <v>107</v>
      </c>
      <c r="C7" s="47">
        <v>43054</v>
      </c>
      <c r="D7" s="34" t="s">
        <v>254</v>
      </c>
      <c r="E7" s="23"/>
      <c r="F7" s="18" t="s">
        <v>144</v>
      </c>
      <c r="G7" s="24">
        <v>4659</v>
      </c>
      <c r="H7" s="24">
        <v>680</v>
      </c>
      <c r="I7" s="109">
        <f t="shared" si="0"/>
        <v>680</v>
      </c>
      <c r="J7" s="118">
        <f>I7+55</f>
        <v>735</v>
      </c>
      <c r="K7" s="90">
        <f>J7+55</f>
        <v>790</v>
      </c>
    </row>
    <row r="8" spans="1:11" ht="12.6" customHeight="1" x14ac:dyDescent="0.3">
      <c r="A8" s="52" t="s">
        <v>140</v>
      </c>
      <c r="B8" s="48" t="s">
        <v>104</v>
      </c>
      <c r="C8" s="47">
        <v>43054</v>
      </c>
      <c r="D8" s="34" t="s">
        <v>254</v>
      </c>
      <c r="E8" s="23"/>
      <c r="F8" s="18" t="s">
        <v>144</v>
      </c>
      <c r="G8" s="24">
        <v>5531</v>
      </c>
      <c r="H8" s="24">
        <v>1507</v>
      </c>
      <c r="I8" s="109">
        <f t="shared" si="0"/>
        <v>1507</v>
      </c>
      <c r="J8" s="118">
        <f>I8+55</f>
        <v>1562</v>
      </c>
      <c r="K8" s="90">
        <f>J8+55</f>
        <v>1617</v>
      </c>
    </row>
    <row r="9" spans="1:11" ht="12.6" customHeight="1" x14ac:dyDescent="0.3">
      <c r="A9" s="52" t="s">
        <v>140</v>
      </c>
      <c r="B9" s="48" t="s">
        <v>99</v>
      </c>
      <c r="C9" s="47">
        <v>43054</v>
      </c>
      <c r="D9" s="34" t="s">
        <v>254</v>
      </c>
      <c r="E9" s="23"/>
      <c r="F9" s="18" t="s">
        <v>144</v>
      </c>
      <c r="G9" s="24">
        <v>5723</v>
      </c>
      <c r="H9" s="24">
        <v>1518</v>
      </c>
      <c r="I9" s="109">
        <f t="shared" si="0"/>
        <v>1518</v>
      </c>
      <c r="J9" s="118">
        <f>I9+55</f>
        <v>1573</v>
      </c>
      <c r="K9" s="90">
        <f>J9+55</f>
        <v>1628</v>
      </c>
    </row>
    <row r="10" spans="1:11" ht="12.6" customHeight="1" x14ac:dyDescent="0.3">
      <c r="A10" s="52" t="s">
        <v>140</v>
      </c>
      <c r="B10" s="48" t="s">
        <v>124</v>
      </c>
      <c r="C10" s="47">
        <v>40350</v>
      </c>
      <c r="D10" s="23"/>
      <c r="E10" s="23"/>
      <c r="F10" s="18" t="s">
        <v>145</v>
      </c>
      <c r="G10" s="24">
        <v>7277</v>
      </c>
      <c r="H10" s="24">
        <v>3201</v>
      </c>
      <c r="I10" s="109">
        <f t="shared" si="0"/>
        <v>3201</v>
      </c>
      <c r="J10" s="118">
        <f>I10+55</f>
        <v>3256</v>
      </c>
      <c r="K10" s="90">
        <f>J10+55</f>
        <v>3311</v>
      </c>
    </row>
    <row r="11" spans="1:11" ht="12.6" customHeight="1" x14ac:dyDescent="0.3">
      <c r="A11" s="52" t="s">
        <v>140</v>
      </c>
      <c r="B11" s="48" t="s">
        <v>118</v>
      </c>
      <c r="C11" s="47">
        <v>40337</v>
      </c>
      <c r="D11" s="23"/>
      <c r="E11" s="23"/>
      <c r="F11" s="18" t="s">
        <v>146</v>
      </c>
      <c r="G11" s="24">
        <v>7447</v>
      </c>
      <c r="H11" s="24">
        <v>3534</v>
      </c>
      <c r="I11" s="109">
        <f t="shared" si="0"/>
        <v>3534</v>
      </c>
      <c r="J11" s="118">
        <f>I11+55</f>
        <v>3589</v>
      </c>
      <c r="K11" s="90">
        <f>J11+55</f>
        <v>3644</v>
      </c>
    </row>
    <row r="12" spans="1:11" ht="12.6" customHeight="1" x14ac:dyDescent="0.3">
      <c r="A12" s="52" t="s">
        <v>140</v>
      </c>
      <c r="B12" s="48" t="s">
        <v>101</v>
      </c>
      <c r="C12" s="47">
        <v>40329</v>
      </c>
      <c r="D12" s="23"/>
      <c r="E12" s="23"/>
      <c r="F12" s="18" t="s">
        <v>147</v>
      </c>
      <c r="G12" s="24">
        <v>10099</v>
      </c>
      <c r="H12" s="24">
        <v>2562</v>
      </c>
      <c r="I12" s="109">
        <f t="shared" si="0"/>
        <v>2562</v>
      </c>
      <c r="J12" s="118">
        <f>I12+55</f>
        <v>2617</v>
      </c>
      <c r="K12" s="90">
        <f>J12+55</f>
        <v>2672</v>
      </c>
    </row>
    <row r="13" spans="1:11" ht="12.6" customHeight="1" x14ac:dyDescent="0.3">
      <c r="A13" s="52" t="s">
        <v>140</v>
      </c>
      <c r="B13" s="48" t="s">
        <v>114</v>
      </c>
      <c r="C13" s="47">
        <v>40319</v>
      </c>
      <c r="D13" s="23"/>
      <c r="E13" s="23"/>
      <c r="F13" s="18" t="s">
        <v>148</v>
      </c>
      <c r="G13" s="24">
        <v>8363</v>
      </c>
      <c r="H13" s="24">
        <v>26</v>
      </c>
      <c r="I13" s="109">
        <f t="shared" si="0"/>
        <v>26</v>
      </c>
      <c r="J13" s="118">
        <f>I13+55</f>
        <v>81</v>
      </c>
      <c r="K13" s="90">
        <f>J13+55</f>
        <v>136</v>
      </c>
    </row>
    <row r="14" spans="1:11" ht="12.6" customHeight="1" x14ac:dyDescent="0.3">
      <c r="A14" s="52"/>
      <c r="B14" s="48" t="s">
        <v>103</v>
      </c>
      <c r="C14" s="47">
        <v>40319</v>
      </c>
      <c r="D14" s="23"/>
      <c r="E14" s="23"/>
      <c r="F14" s="18" t="s">
        <v>148</v>
      </c>
      <c r="G14" s="24">
        <v>7023</v>
      </c>
      <c r="H14" s="24">
        <v>3687</v>
      </c>
      <c r="I14" s="109">
        <f t="shared" si="0"/>
        <v>3687</v>
      </c>
      <c r="J14" s="118">
        <f>I14+55</f>
        <v>3742</v>
      </c>
      <c r="K14" s="90">
        <f>J14+55</f>
        <v>3797</v>
      </c>
    </row>
    <row r="15" spans="1:11" ht="12.6" customHeight="1" x14ac:dyDescent="0.3">
      <c r="A15" s="52" t="s">
        <v>140</v>
      </c>
      <c r="B15" s="48" t="s">
        <v>97</v>
      </c>
      <c r="C15" s="47">
        <v>40319</v>
      </c>
      <c r="D15" s="23"/>
      <c r="E15" s="23"/>
      <c r="F15" s="18" t="s">
        <v>148</v>
      </c>
      <c r="G15" s="24">
        <v>7934</v>
      </c>
      <c r="H15" s="24">
        <v>3896</v>
      </c>
      <c r="I15" s="109">
        <f t="shared" si="0"/>
        <v>3896</v>
      </c>
      <c r="J15" s="118">
        <f>I15+55</f>
        <v>3951</v>
      </c>
      <c r="K15" s="90">
        <f>J15+55</f>
        <v>4006</v>
      </c>
    </row>
    <row r="16" spans="1:11" ht="12.6" customHeight="1" x14ac:dyDescent="0.3">
      <c r="A16" s="52" t="s">
        <v>140</v>
      </c>
      <c r="B16" s="48" t="s">
        <v>75</v>
      </c>
      <c r="C16" s="47">
        <v>40294</v>
      </c>
      <c r="D16" s="23"/>
      <c r="E16" s="23"/>
      <c r="F16" s="18" t="s">
        <v>149</v>
      </c>
      <c r="G16" s="24">
        <v>7018</v>
      </c>
      <c r="H16" s="24">
        <v>2987</v>
      </c>
      <c r="I16" s="109">
        <f t="shared" si="0"/>
        <v>2987</v>
      </c>
      <c r="J16" s="118">
        <f>I16+55</f>
        <v>3042</v>
      </c>
      <c r="K16" s="90">
        <f>J16+55</f>
        <v>3097</v>
      </c>
    </row>
    <row r="17" spans="1:11" ht="12.6" customHeight="1" x14ac:dyDescent="0.3">
      <c r="A17" s="52" t="s">
        <v>140</v>
      </c>
      <c r="B17" s="48" t="s">
        <v>112</v>
      </c>
      <c r="C17" s="47">
        <v>40294</v>
      </c>
      <c r="D17" s="23"/>
      <c r="E17" s="23"/>
      <c r="F17" s="18" t="s">
        <v>149</v>
      </c>
      <c r="G17" s="24">
        <v>8963</v>
      </c>
      <c r="H17" s="24">
        <v>0</v>
      </c>
      <c r="I17" s="109">
        <f t="shared" si="0"/>
        <v>0</v>
      </c>
      <c r="J17" s="118">
        <v>55</v>
      </c>
      <c r="K17" s="90">
        <f>J17+55</f>
        <v>110</v>
      </c>
    </row>
    <row r="18" spans="1:11" ht="12.6" customHeight="1" x14ac:dyDescent="0.3">
      <c r="A18" s="52"/>
      <c r="B18" s="127" t="s">
        <v>115</v>
      </c>
      <c r="C18" s="47">
        <v>40294</v>
      </c>
      <c r="D18" s="23"/>
      <c r="E18" s="23"/>
      <c r="F18" s="18" t="s">
        <v>149</v>
      </c>
      <c r="G18" s="24">
        <v>8515</v>
      </c>
      <c r="H18" s="24">
        <v>0</v>
      </c>
      <c r="I18" s="109">
        <f t="shared" si="0"/>
        <v>0</v>
      </c>
      <c r="J18" s="123" t="s">
        <v>12</v>
      </c>
      <c r="K18" s="90">
        <v>55</v>
      </c>
    </row>
    <row r="19" spans="1:11" ht="12.6" customHeight="1" x14ac:dyDescent="0.3">
      <c r="A19" s="52" t="s">
        <v>140</v>
      </c>
      <c r="B19" s="48" t="s">
        <v>117</v>
      </c>
      <c r="C19" s="47">
        <v>40287</v>
      </c>
      <c r="D19" s="23"/>
      <c r="E19" s="23"/>
      <c r="F19" s="18" t="s">
        <v>150</v>
      </c>
      <c r="G19" s="24">
        <v>8394</v>
      </c>
      <c r="H19" s="24">
        <v>4247</v>
      </c>
      <c r="I19" s="109">
        <f t="shared" si="0"/>
        <v>4247</v>
      </c>
      <c r="J19" s="118">
        <f>I19+55</f>
        <v>4302</v>
      </c>
      <c r="K19" s="90">
        <f>J19+45</f>
        <v>4347</v>
      </c>
    </row>
    <row r="20" spans="1:11" ht="12.6" customHeight="1" x14ac:dyDescent="0.3">
      <c r="A20" s="52" t="s">
        <v>140</v>
      </c>
      <c r="B20" s="48" t="s">
        <v>110</v>
      </c>
      <c r="C20" s="47">
        <v>40267</v>
      </c>
      <c r="D20" s="23"/>
      <c r="E20" s="23"/>
      <c r="F20" s="18" t="s">
        <v>151</v>
      </c>
      <c r="G20" s="24">
        <v>8950</v>
      </c>
      <c r="H20" s="24">
        <v>590</v>
      </c>
      <c r="I20" s="109">
        <f t="shared" si="0"/>
        <v>590</v>
      </c>
      <c r="J20" s="118">
        <f>I20+55</f>
        <v>645</v>
      </c>
      <c r="K20" s="90">
        <f>J20+55</f>
        <v>700</v>
      </c>
    </row>
    <row r="21" spans="1:11" ht="12.6" customHeight="1" x14ac:dyDescent="0.3">
      <c r="A21" s="52" t="s">
        <v>140</v>
      </c>
      <c r="B21" s="48" t="s">
        <v>111</v>
      </c>
      <c r="C21" s="47">
        <v>40268</v>
      </c>
      <c r="D21" s="23"/>
      <c r="E21" s="23" t="s">
        <v>194</v>
      </c>
      <c r="F21" s="18" t="s">
        <v>152</v>
      </c>
      <c r="G21" s="24">
        <v>9500</v>
      </c>
      <c r="H21" s="24">
        <v>2712</v>
      </c>
      <c r="I21" s="109">
        <f t="shared" si="0"/>
        <v>2712</v>
      </c>
      <c r="J21" s="118">
        <f>I21+55</f>
        <v>2767</v>
      </c>
      <c r="K21" s="90">
        <f>J21+55</f>
        <v>2822</v>
      </c>
    </row>
    <row r="22" spans="1:11" ht="12.6" customHeight="1" x14ac:dyDescent="0.3">
      <c r="A22" s="52" t="s">
        <v>140</v>
      </c>
      <c r="B22" s="48" t="s">
        <v>105</v>
      </c>
      <c r="C22" s="47">
        <v>40176</v>
      </c>
      <c r="D22" s="23"/>
      <c r="E22" s="23" t="s">
        <v>194</v>
      </c>
      <c r="F22" s="18" t="s">
        <v>153</v>
      </c>
      <c r="G22" s="24">
        <v>8966</v>
      </c>
      <c r="H22" s="24">
        <v>221</v>
      </c>
      <c r="I22" s="109">
        <f t="shared" si="0"/>
        <v>221</v>
      </c>
      <c r="J22" s="118">
        <f>I22+55</f>
        <v>276</v>
      </c>
      <c r="K22" s="90">
        <f>J22+55</f>
        <v>331</v>
      </c>
    </row>
    <row r="23" spans="1:11" ht="12.6" customHeight="1" x14ac:dyDescent="0.3">
      <c r="A23" s="52" t="s">
        <v>140</v>
      </c>
      <c r="B23" s="48" t="s">
        <v>98</v>
      </c>
      <c r="C23" s="47">
        <v>40176</v>
      </c>
      <c r="D23" s="23"/>
      <c r="E23" s="23" t="s">
        <v>194</v>
      </c>
      <c r="F23" s="18" t="s">
        <v>153</v>
      </c>
      <c r="G23" s="24">
        <v>7191</v>
      </c>
      <c r="H23" s="24">
        <v>3213</v>
      </c>
      <c r="I23" s="109">
        <f t="shared" si="0"/>
        <v>3213</v>
      </c>
      <c r="J23" s="118">
        <f>I23+55</f>
        <v>3268</v>
      </c>
      <c r="K23" s="90">
        <f>J23+55</f>
        <v>3323</v>
      </c>
    </row>
    <row r="24" spans="1:11" ht="12.6" customHeight="1" x14ac:dyDescent="0.3">
      <c r="A24" s="52" t="s">
        <v>140</v>
      </c>
      <c r="B24" s="48" t="s">
        <v>68</v>
      </c>
      <c r="C24" s="47">
        <v>39988</v>
      </c>
      <c r="D24" s="23"/>
      <c r="E24" s="23" t="s">
        <v>194</v>
      </c>
      <c r="F24" s="18" t="s">
        <v>154</v>
      </c>
      <c r="G24" s="24">
        <v>9387</v>
      </c>
      <c r="H24" s="24">
        <v>1592</v>
      </c>
      <c r="I24" s="109">
        <f t="shared" si="0"/>
        <v>1592</v>
      </c>
      <c r="J24" s="118">
        <f>I24+55</f>
        <v>1647</v>
      </c>
      <c r="K24" s="90">
        <f>J24+55</f>
        <v>1702</v>
      </c>
    </row>
    <row r="25" spans="1:11" ht="12.6" customHeight="1" x14ac:dyDescent="0.3">
      <c r="A25" s="52"/>
      <c r="B25" s="48" t="s">
        <v>85</v>
      </c>
      <c r="C25" s="47">
        <v>39987</v>
      </c>
      <c r="D25" s="23"/>
      <c r="E25" s="23" t="s">
        <v>194</v>
      </c>
      <c r="F25" s="18" t="s">
        <v>155</v>
      </c>
      <c r="G25" s="24">
        <v>7560</v>
      </c>
      <c r="H25" s="24">
        <v>3690</v>
      </c>
      <c r="I25" s="109">
        <f t="shared" si="0"/>
        <v>3690</v>
      </c>
      <c r="J25" s="92" t="s">
        <v>262</v>
      </c>
      <c r="K25" s="90">
        <f>I25+55</f>
        <v>3745</v>
      </c>
    </row>
    <row r="26" spans="1:11" ht="12.6" customHeight="1" x14ac:dyDescent="0.3">
      <c r="A26" s="52" t="s">
        <v>140</v>
      </c>
      <c r="B26" s="48" t="s">
        <v>81</v>
      </c>
      <c r="C26" s="47">
        <v>39927</v>
      </c>
      <c r="D26" s="23"/>
      <c r="E26" s="23" t="s">
        <v>194</v>
      </c>
      <c r="F26" s="18" t="s">
        <v>156</v>
      </c>
      <c r="G26" s="24">
        <v>5555</v>
      </c>
      <c r="H26" s="24">
        <v>2195</v>
      </c>
      <c r="I26" s="109">
        <f t="shared" si="0"/>
        <v>2195</v>
      </c>
      <c r="J26" s="118">
        <f>I26+55</f>
        <v>2250</v>
      </c>
      <c r="K26" s="90">
        <f>J26+55</f>
        <v>2305</v>
      </c>
    </row>
    <row r="27" spans="1:11" ht="12.6" customHeight="1" x14ac:dyDescent="0.3">
      <c r="A27" s="52" t="s">
        <v>140</v>
      </c>
      <c r="B27" s="48" t="s">
        <v>127</v>
      </c>
      <c r="C27" s="47">
        <v>39925</v>
      </c>
      <c r="D27" s="23"/>
      <c r="E27" s="23" t="s">
        <v>194</v>
      </c>
      <c r="F27" s="18" t="s">
        <v>157</v>
      </c>
      <c r="G27" s="24">
        <v>8983</v>
      </c>
      <c r="H27" s="24">
        <v>110</v>
      </c>
      <c r="I27" s="109">
        <f t="shared" si="0"/>
        <v>110</v>
      </c>
      <c r="J27" s="118">
        <f t="shared" ref="J27:J33" si="1">I27+55</f>
        <v>165</v>
      </c>
      <c r="K27" s="90">
        <f>J27+55</f>
        <v>220</v>
      </c>
    </row>
    <row r="28" spans="1:11" ht="12.6" customHeight="1" x14ac:dyDescent="0.3">
      <c r="A28" s="52" t="s">
        <v>140</v>
      </c>
      <c r="B28" s="48" t="s">
        <v>120</v>
      </c>
      <c r="C28" s="47">
        <v>39925</v>
      </c>
      <c r="D28" s="23"/>
      <c r="E28" s="23" t="s">
        <v>194</v>
      </c>
      <c r="F28" s="18" t="s">
        <v>157</v>
      </c>
      <c r="G28" s="24">
        <v>8020</v>
      </c>
      <c r="H28" s="24">
        <v>3902</v>
      </c>
      <c r="I28" s="109">
        <f t="shared" si="0"/>
        <v>3902</v>
      </c>
      <c r="J28" s="118">
        <f t="shared" si="1"/>
        <v>3957</v>
      </c>
      <c r="K28" s="90">
        <f>J28+55</f>
        <v>4012</v>
      </c>
    </row>
    <row r="29" spans="1:11" ht="12.6" customHeight="1" x14ac:dyDescent="0.3">
      <c r="A29" s="52" t="s">
        <v>140</v>
      </c>
      <c r="B29" s="48" t="s">
        <v>86</v>
      </c>
      <c r="C29" s="47">
        <v>39925</v>
      </c>
      <c r="D29" s="23"/>
      <c r="E29" s="23" t="s">
        <v>194</v>
      </c>
      <c r="F29" s="18" t="s">
        <v>157</v>
      </c>
      <c r="G29" s="24">
        <v>5983</v>
      </c>
      <c r="H29" s="24">
        <v>3826</v>
      </c>
      <c r="I29" s="109">
        <f t="shared" si="0"/>
        <v>3826</v>
      </c>
      <c r="J29" s="118">
        <f t="shared" si="1"/>
        <v>3881</v>
      </c>
      <c r="K29" s="90">
        <f>J29+55</f>
        <v>3936</v>
      </c>
    </row>
    <row r="30" spans="1:11" ht="12.6" customHeight="1" x14ac:dyDescent="0.3">
      <c r="A30" s="52" t="s">
        <v>140</v>
      </c>
      <c r="B30" s="48" t="s">
        <v>67</v>
      </c>
      <c r="C30" s="47">
        <v>39752</v>
      </c>
      <c r="D30" s="23"/>
      <c r="E30" s="23" t="s">
        <v>194</v>
      </c>
      <c r="F30" s="18" t="s">
        <v>139</v>
      </c>
      <c r="G30" s="24">
        <v>9308</v>
      </c>
      <c r="H30" s="24">
        <v>2957</v>
      </c>
      <c r="I30" s="109">
        <f t="shared" si="0"/>
        <v>2957</v>
      </c>
      <c r="J30" s="118">
        <f t="shared" si="1"/>
        <v>3012</v>
      </c>
      <c r="K30" s="90">
        <f>J30+55</f>
        <v>3067</v>
      </c>
    </row>
    <row r="31" spans="1:11" ht="12.6" customHeight="1" x14ac:dyDescent="0.3">
      <c r="A31" s="52" t="s">
        <v>140</v>
      </c>
      <c r="B31" s="48" t="s">
        <v>159</v>
      </c>
      <c r="C31" s="47">
        <v>39716</v>
      </c>
      <c r="D31" s="23"/>
      <c r="E31" s="23" t="s">
        <v>194</v>
      </c>
      <c r="F31" s="18" t="s">
        <v>158</v>
      </c>
      <c r="G31" s="24">
        <v>7977</v>
      </c>
      <c r="H31" s="24">
        <v>1245</v>
      </c>
      <c r="I31" s="109">
        <f t="shared" si="0"/>
        <v>1245</v>
      </c>
      <c r="J31" s="118">
        <f t="shared" si="1"/>
        <v>1300</v>
      </c>
      <c r="K31" s="90">
        <f>J31+55</f>
        <v>1355</v>
      </c>
    </row>
    <row r="32" spans="1:11" ht="12.6" customHeight="1" x14ac:dyDescent="0.3">
      <c r="A32" s="52" t="s">
        <v>140</v>
      </c>
      <c r="B32" s="48" t="s">
        <v>106</v>
      </c>
      <c r="C32" s="47">
        <v>39716</v>
      </c>
      <c r="D32" s="23"/>
      <c r="E32" s="23" t="s">
        <v>194</v>
      </c>
      <c r="F32" s="18" t="s">
        <v>158</v>
      </c>
      <c r="G32" s="24">
        <v>8179</v>
      </c>
      <c r="H32" s="24">
        <v>1554</v>
      </c>
      <c r="I32" s="109">
        <f t="shared" si="0"/>
        <v>1554</v>
      </c>
      <c r="J32" s="118">
        <f t="shared" si="1"/>
        <v>1609</v>
      </c>
      <c r="K32" s="90">
        <f>J32+55</f>
        <v>1664</v>
      </c>
    </row>
    <row r="33" spans="1:11" ht="12.6" customHeight="1" x14ac:dyDescent="0.3">
      <c r="A33" s="53" t="s">
        <v>140</v>
      </c>
      <c r="B33" s="63" t="s">
        <v>93</v>
      </c>
      <c r="C33" s="61">
        <v>40267</v>
      </c>
      <c r="D33" s="20"/>
      <c r="E33" s="23"/>
      <c r="F33" s="19" t="s">
        <v>151</v>
      </c>
      <c r="G33" s="21">
        <v>7551</v>
      </c>
      <c r="H33" s="21">
        <v>3447</v>
      </c>
      <c r="I33" s="109">
        <f t="shared" si="0"/>
        <v>3447</v>
      </c>
      <c r="J33" s="118">
        <f t="shared" si="1"/>
        <v>3502</v>
      </c>
      <c r="K33" s="90">
        <f>J33+55</f>
        <v>3557</v>
      </c>
    </row>
    <row r="34" spans="1:11" ht="12.6" customHeight="1" x14ac:dyDescent="0.3">
      <c r="A34" s="53" t="s">
        <v>140</v>
      </c>
      <c r="B34" s="63" t="s">
        <v>92</v>
      </c>
      <c r="C34" s="61">
        <v>40329</v>
      </c>
      <c r="D34" s="20"/>
      <c r="E34" s="23"/>
      <c r="F34" s="19" t="s">
        <v>147</v>
      </c>
      <c r="G34" s="21">
        <v>7166</v>
      </c>
      <c r="H34" s="21">
        <v>3382</v>
      </c>
      <c r="I34" s="109">
        <f t="shared" si="0"/>
        <v>3382</v>
      </c>
      <c r="J34" s="118">
        <f t="shared" ref="J34:J60" si="2">I34+55</f>
        <v>3437</v>
      </c>
      <c r="K34" s="90">
        <f>J34+55</f>
        <v>3492</v>
      </c>
    </row>
    <row r="35" spans="1:11" ht="12.6" customHeight="1" x14ac:dyDescent="0.3">
      <c r="A35" s="53" t="s">
        <v>140</v>
      </c>
      <c r="B35" s="63" t="s">
        <v>94</v>
      </c>
      <c r="C35" s="61">
        <v>40085</v>
      </c>
      <c r="D35" s="20"/>
      <c r="E35" s="23"/>
      <c r="F35" s="19" t="s">
        <v>179</v>
      </c>
      <c r="G35" s="21">
        <v>2526</v>
      </c>
      <c r="H35" s="21">
        <v>2796</v>
      </c>
      <c r="I35" s="109">
        <f t="shared" si="0"/>
        <v>2796</v>
      </c>
      <c r="J35" s="118">
        <f t="shared" si="2"/>
        <v>2851</v>
      </c>
      <c r="K35" s="90">
        <f>J35+55</f>
        <v>2906</v>
      </c>
    </row>
    <row r="36" spans="1:11" ht="12.6" customHeight="1" x14ac:dyDescent="0.3">
      <c r="A36" s="52"/>
      <c r="B36" s="64" t="s">
        <v>216</v>
      </c>
      <c r="C36" s="61">
        <v>45126</v>
      </c>
      <c r="D36" s="20" t="s">
        <v>253</v>
      </c>
      <c r="E36" s="23" t="s">
        <v>194</v>
      </c>
      <c r="F36" s="19"/>
      <c r="G36" s="21">
        <v>1062</v>
      </c>
      <c r="H36" s="21">
        <v>0</v>
      </c>
      <c r="I36" s="109">
        <f t="shared" ref="I36:I60" si="3">G36+0</f>
        <v>1062</v>
      </c>
      <c r="J36" s="118">
        <f t="shared" si="2"/>
        <v>1117</v>
      </c>
      <c r="K36" s="90">
        <f>J36+55</f>
        <v>1172</v>
      </c>
    </row>
    <row r="37" spans="1:11" ht="12.6" customHeight="1" x14ac:dyDescent="0.3">
      <c r="A37" s="52"/>
      <c r="B37" s="64" t="s">
        <v>217</v>
      </c>
      <c r="C37" s="61">
        <v>45126</v>
      </c>
      <c r="D37" s="20" t="s">
        <v>253</v>
      </c>
      <c r="E37" s="23" t="s">
        <v>194</v>
      </c>
      <c r="F37" s="19"/>
      <c r="G37" s="21">
        <v>826</v>
      </c>
      <c r="H37" s="21">
        <v>0</v>
      </c>
      <c r="I37" s="109">
        <f t="shared" si="3"/>
        <v>826</v>
      </c>
      <c r="J37" s="118">
        <f t="shared" si="2"/>
        <v>881</v>
      </c>
      <c r="K37" s="90">
        <f>J37+55</f>
        <v>936</v>
      </c>
    </row>
    <row r="38" spans="1:11" ht="12.6" customHeight="1" x14ac:dyDescent="0.3">
      <c r="A38" s="52"/>
      <c r="B38" s="64" t="s">
        <v>218</v>
      </c>
      <c r="C38" s="61">
        <v>45126</v>
      </c>
      <c r="D38" s="20" t="s">
        <v>253</v>
      </c>
      <c r="E38" s="23" t="s">
        <v>194</v>
      </c>
      <c r="F38" s="19"/>
      <c r="G38" s="21">
        <v>924</v>
      </c>
      <c r="H38" s="21">
        <v>0</v>
      </c>
      <c r="I38" s="109">
        <f t="shared" si="3"/>
        <v>924</v>
      </c>
      <c r="J38" s="118">
        <f t="shared" si="2"/>
        <v>979</v>
      </c>
      <c r="K38" s="90">
        <f>J38+55</f>
        <v>1034</v>
      </c>
    </row>
    <row r="39" spans="1:11" ht="12.6" customHeight="1" x14ac:dyDescent="0.3">
      <c r="A39" s="52"/>
      <c r="B39" s="64" t="s">
        <v>219</v>
      </c>
      <c r="C39" s="61">
        <v>45126</v>
      </c>
      <c r="D39" s="20" t="s">
        <v>253</v>
      </c>
      <c r="E39" s="23" t="s">
        <v>194</v>
      </c>
      <c r="F39" s="19"/>
      <c r="G39" s="21">
        <v>1032</v>
      </c>
      <c r="H39" s="21">
        <v>0</v>
      </c>
      <c r="I39" s="109">
        <f t="shared" si="3"/>
        <v>1032</v>
      </c>
      <c r="J39" s="118">
        <f t="shared" si="2"/>
        <v>1087</v>
      </c>
      <c r="K39" s="90">
        <f>J39+55</f>
        <v>1142</v>
      </c>
    </row>
    <row r="40" spans="1:11" ht="12.6" customHeight="1" x14ac:dyDescent="0.3">
      <c r="A40" s="54" t="s">
        <v>205</v>
      </c>
      <c r="B40" s="63"/>
      <c r="C40" s="61">
        <v>45122</v>
      </c>
      <c r="D40" s="20" t="s">
        <v>253</v>
      </c>
      <c r="E40" s="23"/>
      <c r="F40" s="19"/>
      <c r="G40" s="21">
        <v>1155</v>
      </c>
      <c r="H40" s="21">
        <v>0</v>
      </c>
      <c r="I40" s="109">
        <f t="shared" si="3"/>
        <v>1155</v>
      </c>
      <c r="J40" s="118">
        <f t="shared" si="2"/>
        <v>1210</v>
      </c>
      <c r="K40" s="90">
        <f>J40+55</f>
        <v>1265</v>
      </c>
    </row>
    <row r="41" spans="1:11" ht="12.6" customHeight="1" x14ac:dyDescent="0.3">
      <c r="A41" s="54" t="s">
        <v>206</v>
      </c>
      <c r="B41" s="63"/>
      <c r="C41" s="61">
        <v>45123</v>
      </c>
      <c r="D41" s="20" t="s">
        <v>253</v>
      </c>
      <c r="E41" s="23"/>
      <c r="F41" s="19"/>
      <c r="G41" s="21">
        <v>1300</v>
      </c>
      <c r="H41" s="21">
        <v>0</v>
      </c>
      <c r="I41" s="109">
        <f t="shared" si="3"/>
        <v>1300</v>
      </c>
      <c r="J41" s="118">
        <f t="shared" si="2"/>
        <v>1355</v>
      </c>
      <c r="K41" s="90">
        <f>J41+55</f>
        <v>1410</v>
      </c>
    </row>
    <row r="42" spans="1:11" ht="12.6" customHeight="1" x14ac:dyDescent="0.3">
      <c r="A42" s="54" t="s">
        <v>207</v>
      </c>
      <c r="B42" s="63"/>
      <c r="C42" s="61">
        <v>45124</v>
      </c>
      <c r="D42" s="20" t="s">
        <v>253</v>
      </c>
      <c r="E42" s="23"/>
      <c r="F42" s="19"/>
      <c r="G42" s="21">
        <v>1100</v>
      </c>
      <c r="H42" s="21">
        <v>0</v>
      </c>
      <c r="I42" s="109">
        <f t="shared" si="3"/>
        <v>1100</v>
      </c>
      <c r="J42" s="118">
        <f t="shared" si="2"/>
        <v>1155</v>
      </c>
      <c r="K42" s="90">
        <f>J42+55</f>
        <v>1210</v>
      </c>
    </row>
    <row r="43" spans="1:11" ht="12.6" customHeight="1" x14ac:dyDescent="0.3">
      <c r="A43" s="54" t="s">
        <v>208</v>
      </c>
      <c r="B43" s="63"/>
      <c r="C43" s="61">
        <v>45125</v>
      </c>
      <c r="D43" s="20" t="s">
        <v>253</v>
      </c>
      <c r="E43" s="23"/>
      <c r="F43" s="19"/>
      <c r="G43" s="21">
        <v>993</v>
      </c>
      <c r="H43" s="21">
        <v>0</v>
      </c>
      <c r="I43" s="109">
        <f t="shared" si="3"/>
        <v>993</v>
      </c>
      <c r="J43" s="118">
        <f t="shared" si="2"/>
        <v>1048</v>
      </c>
      <c r="K43" s="90">
        <f>J43+55</f>
        <v>1103</v>
      </c>
    </row>
    <row r="44" spans="1:11" ht="12.6" customHeight="1" x14ac:dyDescent="0.3">
      <c r="A44" s="54" t="s">
        <v>209</v>
      </c>
      <c r="B44" s="63"/>
      <c r="C44" s="61">
        <v>45126</v>
      </c>
      <c r="D44" s="20" t="s">
        <v>253</v>
      </c>
      <c r="E44" s="23"/>
      <c r="F44" s="19"/>
      <c r="G44" s="21">
        <v>885</v>
      </c>
      <c r="H44" s="21">
        <v>0</v>
      </c>
      <c r="I44" s="109">
        <f t="shared" si="3"/>
        <v>885</v>
      </c>
      <c r="J44" s="118">
        <f t="shared" si="2"/>
        <v>940</v>
      </c>
      <c r="K44" s="90">
        <f>J44+55</f>
        <v>995</v>
      </c>
    </row>
    <row r="45" spans="1:11" ht="12.6" customHeight="1" x14ac:dyDescent="0.3">
      <c r="A45" s="54" t="s">
        <v>210</v>
      </c>
      <c r="B45" s="63"/>
      <c r="C45" s="61">
        <v>45123</v>
      </c>
      <c r="D45" s="20" t="s">
        <v>253</v>
      </c>
      <c r="E45" s="23"/>
      <c r="F45" s="19"/>
      <c r="G45" s="21">
        <v>1217</v>
      </c>
      <c r="H45" s="21">
        <v>0</v>
      </c>
      <c r="I45" s="109">
        <f t="shared" si="3"/>
        <v>1217</v>
      </c>
      <c r="J45" s="118">
        <f t="shared" si="2"/>
        <v>1272</v>
      </c>
      <c r="K45" s="90">
        <f>J45+55</f>
        <v>1327</v>
      </c>
    </row>
    <row r="46" spans="1:11" ht="12.6" customHeight="1" x14ac:dyDescent="0.3">
      <c r="A46" s="54" t="s">
        <v>211</v>
      </c>
      <c r="B46" s="63"/>
      <c r="C46" s="61">
        <v>45124</v>
      </c>
      <c r="D46" s="20" t="s">
        <v>253</v>
      </c>
      <c r="E46" s="23"/>
      <c r="F46" s="19"/>
      <c r="G46" s="21">
        <v>1457</v>
      </c>
      <c r="H46" s="21">
        <v>0</v>
      </c>
      <c r="I46" s="109">
        <f t="shared" si="3"/>
        <v>1457</v>
      </c>
      <c r="J46" s="118">
        <f t="shared" si="2"/>
        <v>1512</v>
      </c>
      <c r="K46" s="90">
        <f>J46+55</f>
        <v>1567</v>
      </c>
    </row>
    <row r="47" spans="1:11" ht="12.6" customHeight="1" x14ac:dyDescent="0.3">
      <c r="A47" s="54" t="s">
        <v>212</v>
      </c>
      <c r="B47" s="63"/>
      <c r="C47" s="61">
        <v>45125</v>
      </c>
      <c r="D47" s="20" t="s">
        <v>253</v>
      </c>
      <c r="E47" s="23"/>
      <c r="F47" s="19"/>
      <c r="G47" s="21">
        <v>930</v>
      </c>
      <c r="H47" s="21">
        <v>0</v>
      </c>
      <c r="I47" s="109">
        <f t="shared" si="3"/>
        <v>930</v>
      </c>
      <c r="J47" s="118">
        <f t="shared" si="2"/>
        <v>985</v>
      </c>
      <c r="K47" s="90">
        <f>J47+55</f>
        <v>1040</v>
      </c>
    </row>
    <row r="48" spans="1:11" ht="12.6" customHeight="1" x14ac:dyDescent="0.3">
      <c r="A48" s="54" t="s">
        <v>213</v>
      </c>
      <c r="B48" s="63"/>
      <c r="C48" s="61">
        <v>45126</v>
      </c>
      <c r="D48" s="20" t="s">
        <v>253</v>
      </c>
      <c r="E48" s="23"/>
      <c r="F48" s="19"/>
      <c r="G48" s="21">
        <v>822</v>
      </c>
      <c r="H48" s="21">
        <v>0</v>
      </c>
      <c r="I48" s="109">
        <f t="shared" si="3"/>
        <v>822</v>
      </c>
      <c r="J48" s="118">
        <f t="shared" si="2"/>
        <v>877</v>
      </c>
      <c r="K48" s="90">
        <f>J48+55</f>
        <v>932</v>
      </c>
    </row>
    <row r="49" spans="1:11" ht="12.6" customHeight="1" x14ac:dyDescent="0.3">
      <c r="A49" s="54" t="s">
        <v>214</v>
      </c>
      <c r="B49" s="81"/>
      <c r="C49" s="61">
        <v>45126</v>
      </c>
      <c r="D49" s="20" t="s">
        <v>253</v>
      </c>
      <c r="E49" s="23"/>
      <c r="F49" s="81"/>
      <c r="G49" s="21">
        <v>809</v>
      </c>
      <c r="H49" s="21">
        <v>0</v>
      </c>
      <c r="I49" s="109">
        <f t="shared" si="3"/>
        <v>809</v>
      </c>
      <c r="J49" s="118">
        <f t="shared" si="2"/>
        <v>864</v>
      </c>
      <c r="K49" s="90">
        <f>J49+55</f>
        <v>919</v>
      </c>
    </row>
    <row r="50" spans="1:11" ht="12.6" customHeight="1" x14ac:dyDescent="0.3">
      <c r="A50" s="54" t="s">
        <v>215</v>
      </c>
      <c r="B50" s="112"/>
      <c r="C50" s="61">
        <v>45126</v>
      </c>
      <c r="D50" s="20" t="s">
        <v>253</v>
      </c>
      <c r="E50" s="23"/>
      <c r="F50" s="19"/>
      <c r="G50" s="21">
        <v>1114</v>
      </c>
      <c r="H50" s="21">
        <v>0</v>
      </c>
      <c r="I50" s="109">
        <f t="shared" si="3"/>
        <v>1114</v>
      </c>
      <c r="J50" s="118">
        <f t="shared" si="2"/>
        <v>1169</v>
      </c>
      <c r="K50" s="90">
        <f>J50+55</f>
        <v>1224</v>
      </c>
    </row>
    <row r="51" spans="1:11" ht="12.6" customHeight="1" x14ac:dyDescent="0.3">
      <c r="A51" s="55" t="s">
        <v>242</v>
      </c>
      <c r="B51" s="19"/>
      <c r="C51" s="61">
        <v>45622</v>
      </c>
      <c r="D51" s="20" t="s">
        <v>255</v>
      </c>
      <c r="E51" s="23"/>
      <c r="F51" s="19"/>
      <c r="G51" s="21">
        <v>512</v>
      </c>
      <c r="H51" s="21">
        <v>0</v>
      </c>
      <c r="I51" s="109">
        <f t="shared" si="3"/>
        <v>512</v>
      </c>
      <c r="J51" s="118">
        <f t="shared" si="2"/>
        <v>567</v>
      </c>
      <c r="K51" s="90">
        <f>J51+55</f>
        <v>622</v>
      </c>
    </row>
    <row r="52" spans="1:11" ht="12.6" customHeight="1" x14ac:dyDescent="0.3">
      <c r="A52" s="55" t="s">
        <v>243</v>
      </c>
      <c r="B52" s="19"/>
      <c r="C52" s="61">
        <v>45625</v>
      </c>
      <c r="D52" s="20" t="s">
        <v>255</v>
      </c>
      <c r="E52" s="23"/>
      <c r="F52" s="19"/>
      <c r="G52" s="21">
        <v>325</v>
      </c>
      <c r="H52" s="21">
        <v>0</v>
      </c>
      <c r="I52" s="109">
        <f t="shared" si="3"/>
        <v>325</v>
      </c>
      <c r="J52" s="118">
        <f t="shared" si="2"/>
        <v>380</v>
      </c>
      <c r="K52" s="90">
        <f>J52+55</f>
        <v>435</v>
      </c>
    </row>
    <row r="53" spans="1:11" ht="12.6" customHeight="1" x14ac:dyDescent="0.3">
      <c r="A53" s="55" t="s">
        <v>244</v>
      </c>
      <c r="B53" s="19"/>
      <c r="C53" s="61">
        <v>45624</v>
      </c>
      <c r="D53" s="20" t="s">
        <v>255</v>
      </c>
      <c r="E53" s="23"/>
      <c r="F53" s="19"/>
      <c r="G53" s="21">
        <v>386</v>
      </c>
      <c r="H53" s="21">
        <v>0</v>
      </c>
      <c r="I53" s="109">
        <f t="shared" si="3"/>
        <v>386</v>
      </c>
      <c r="J53" s="118">
        <f t="shared" si="2"/>
        <v>441</v>
      </c>
      <c r="K53" s="90">
        <f>J53+55</f>
        <v>496</v>
      </c>
    </row>
    <row r="54" spans="1:11" ht="12.6" customHeight="1" x14ac:dyDescent="0.3">
      <c r="A54" s="55" t="s">
        <v>245</v>
      </c>
      <c r="B54" s="19"/>
      <c r="C54" s="61">
        <v>45630</v>
      </c>
      <c r="D54" s="20" t="s">
        <v>255</v>
      </c>
      <c r="E54" s="23"/>
      <c r="F54" s="19"/>
      <c r="G54" s="21">
        <v>458</v>
      </c>
      <c r="H54" s="21">
        <v>0</v>
      </c>
      <c r="I54" s="109">
        <f t="shared" si="3"/>
        <v>458</v>
      </c>
      <c r="J54" s="118">
        <f t="shared" si="2"/>
        <v>513</v>
      </c>
      <c r="K54" s="90">
        <f>J54+55</f>
        <v>568</v>
      </c>
    </row>
    <row r="55" spans="1:11" ht="12.6" customHeight="1" x14ac:dyDescent="0.3">
      <c r="A55" s="55" t="s">
        <v>246</v>
      </c>
      <c r="B55" s="81"/>
      <c r="C55" s="61">
        <v>45633</v>
      </c>
      <c r="D55" s="20" t="s">
        <v>255</v>
      </c>
      <c r="E55" s="23"/>
      <c r="F55" s="81"/>
      <c r="G55" s="21">
        <v>408</v>
      </c>
      <c r="H55" s="21">
        <v>0</v>
      </c>
      <c r="I55" s="109">
        <f t="shared" si="3"/>
        <v>408</v>
      </c>
      <c r="J55" s="118">
        <f t="shared" si="2"/>
        <v>463</v>
      </c>
      <c r="K55" s="90">
        <f>J55+55</f>
        <v>518</v>
      </c>
    </row>
    <row r="56" spans="1:11" ht="12.6" customHeight="1" x14ac:dyDescent="0.3">
      <c r="A56" s="55" t="s">
        <v>247</v>
      </c>
      <c r="B56" s="81"/>
      <c r="C56" s="61">
        <v>45635</v>
      </c>
      <c r="D56" s="20" t="s">
        <v>255</v>
      </c>
      <c r="E56" s="23"/>
      <c r="F56" s="81"/>
      <c r="G56" s="21">
        <v>410</v>
      </c>
      <c r="H56" s="21">
        <v>0</v>
      </c>
      <c r="I56" s="109">
        <f t="shared" si="3"/>
        <v>410</v>
      </c>
      <c r="J56" s="118">
        <f t="shared" si="2"/>
        <v>465</v>
      </c>
      <c r="K56" s="90">
        <f>J56+55</f>
        <v>520</v>
      </c>
    </row>
    <row r="57" spans="1:11" ht="12.6" customHeight="1" x14ac:dyDescent="0.3">
      <c r="A57" s="55" t="s">
        <v>248</v>
      </c>
      <c r="B57" s="81"/>
      <c r="C57" s="61">
        <v>45632</v>
      </c>
      <c r="D57" s="20" t="s">
        <v>255</v>
      </c>
      <c r="E57" s="23"/>
      <c r="F57" s="81"/>
      <c r="G57" s="21">
        <v>352</v>
      </c>
      <c r="H57" s="21">
        <v>0</v>
      </c>
      <c r="I57" s="109">
        <f t="shared" si="3"/>
        <v>352</v>
      </c>
      <c r="J57" s="118">
        <f t="shared" si="2"/>
        <v>407</v>
      </c>
      <c r="K57" s="90">
        <f>J57+55</f>
        <v>462</v>
      </c>
    </row>
    <row r="58" spans="1:11" ht="12.6" customHeight="1" x14ac:dyDescent="0.3">
      <c r="A58" s="55" t="s">
        <v>258</v>
      </c>
      <c r="B58" s="81"/>
      <c r="C58" s="61">
        <v>45636</v>
      </c>
      <c r="D58" s="20" t="s">
        <v>255</v>
      </c>
      <c r="E58" s="23"/>
      <c r="F58" s="81"/>
      <c r="G58" s="21">
        <v>477</v>
      </c>
      <c r="H58" s="21">
        <v>0</v>
      </c>
      <c r="I58" s="109">
        <f t="shared" si="3"/>
        <v>477</v>
      </c>
      <c r="J58" s="118">
        <f t="shared" si="2"/>
        <v>532</v>
      </c>
      <c r="K58" s="90">
        <f>J58+55</f>
        <v>587</v>
      </c>
    </row>
    <row r="59" spans="1:11" ht="12.6" customHeight="1" x14ac:dyDescent="0.3">
      <c r="A59" s="55" t="s">
        <v>256</v>
      </c>
      <c r="B59" s="83"/>
      <c r="C59" s="61">
        <v>45635</v>
      </c>
      <c r="D59" s="20" t="s">
        <v>255</v>
      </c>
      <c r="E59" s="23"/>
      <c r="F59" s="83"/>
      <c r="G59" s="21">
        <v>426</v>
      </c>
      <c r="H59" s="21">
        <v>0</v>
      </c>
      <c r="I59" s="109">
        <f t="shared" si="3"/>
        <v>426</v>
      </c>
      <c r="J59" s="118">
        <f t="shared" si="2"/>
        <v>481</v>
      </c>
      <c r="K59" s="90">
        <f>J59+55</f>
        <v>536</v>
      </c>
    </row>
    <row r="60" spans="1:11" ht="12.6" customHeight="1" thickBot="1" x14ac:dyDescent="0.35">
      <c r="A60" s="56" t="s">
        <v>257</v>
      </c>
      <c r="B60" s="82"/>
      <c r="C60" s="62">
        <v>45636</v>
      </c>
      <c r="D60" s="36" t="s">
        <v>255</v>
      </c>
      <c r="E60" s="25"/>
      <c r="F60" s="82"/>
      <c r="G60" s="22">
        <v>353</v>
      </c>
      <c r="H60" s="22">
        <v>0</v>
      </c>
      <c r="I60" s="110">
        <f t="shared" si="3"/>
        <v>353</v>
      </c>
      <c r="J60" s="119">
        <f t="shared" si="2"/>
        <v>408</v>
      </c>
      <c r="K60" s="94">
        <f>J60+55</f>
        <v>463</v>
      </c>
    </row>
    <row r="61" spans="1:11" ht="12.6" customHeight="1" x14ac:dyDescent="0.3">
      <c r="A61" s="57" t="s">
        <v>116</v>
      </c>
      <c r="B61" s="113" t="s">
        <v>140</v>
      </c>
      <c r="C61" s="60">
        <v>39092</v>
      </c>
      <c r="D61" s="34"/>
      <c r="E61" s="34"/>
      <c r="F61" s="33" t="s">
        <v>160</v>
      </c>
      <c r="G61" s="35">
        <v>7031</v>
      </c>
      <c r="H61" s="35">
        <v>3964</v>
      </c>
      <c r="I61" s="111">
        <f t="shared" ref="I61:I83" si="4">H61+0</f>
        <v>3964</v>
      </c>
      <c r="J61" s="105">
        <f>I61+55</f>
        <v>4019</v>
      </c>
      <c r="K61" s="90">
        <f>J61+55</f>
        <v>4074</v>
      </c>
    </row>
    <row r="62" spans="1:11" ht="12.6" customHeight="1" x14ac:dyDescent="0.3">
      <c r="A62" s="75" t="s">
        <v>161</v>
      </c>
      <c r="B62" s="114" t="s">
        <v>267</v>
      </c>
      <c r="C62" s="61">
        <v>34299</v>
      </c>
      <c r="D62" s="20"/>
      <c r="E62" s="23"/>
      <c r="F62" s="19" t="s">
        <v>162</v>
      </c>
      <c r="G62" s="21">
        <v>15619</v>
      </c>
      <c r="H62" s="21">
        <v>1292</v>
      </c>
      <c r="I62" s="109">
        <f t="shared" si="4"/>
        <v>1292</v>
      </c>
      <c r="J62" s="106">
        <f>I62+30</f>
        <v>1322</v>
      </c>
      <c r="K62" s="91">
        <f>J62+30</f>
        <v>1352</v>
      </c>
    </row>
    <row r="63" spans="1:11" ht="12.6" customHeight="1" x14ac:dyDescent="0.3">
      <c r="A63" s="75" t="s">
        <v>174</v>
      </c>
      <c r="B63" s="114" t="s">
        <v>267</v>
      </c>
      <c r="C63" s="61">
        <v>32141</v>
      </c>
      <c r="D63" s="20"/>
      <c r="E63" s="23"/>
      <c r="F63" s="19" t="s">
        <v>175</v>
      </c>
      <c r="G63" s="21">
        <v>15725</v>
      </c>
      <c r="H63" s="21">
        <v>1323</v>
      </c>
      <c r="I63" s="109">
        <f t="shared" si="4"/>
        <v>1323</v>
      </c>
      <c r="J63" s="106">
        <f>I63+30</f>
        <v>1353</v>
      </c>
      <c r="K63" s="91">
        <f>J63+30</f>
        <v>1383</v>
      </c>
    </row>
    <row r="64" spans="1:11" ht="12.6" customHeight="1" x14ac:dyDescent="0.3">
      <c r="A64" s="58" t="s">
        <v>80</v>
      </c>
      <c r="B64" s="115" t="s">
        <v>140</v>
      </c>
      <c r="C64" s="61">
        <v>30461</v>
      </c>
      <c r="D64" s="20"/>
      <c r="E64" s="23"/>
      <c r="F64" s="19" t="s">
        <v>177</v>
      </c>
      <c r="G64" s="21">
        <v>11842</v>
      </c>
      <c r="H64" s="21">
        <v>2005</v>
      </c>
      <c r="I64" s="109">
        <f t="shared" si="4"/>
        <v>2005</v>
      </c>
      <c r="J64" s="105">
        <f>I64+55</f>
        <v>2060</v>
      </c>
      <c r="K64" s="90">
        <f>J64+55</f>
        <v>2115</v>
      </c>
    </row>
    <row r="65" spans="1:11" ht="12.6" customHeight="1" x14ac:dyDescent="0.3">
      <c r="A65" s="58" t="s">
        <v>136</v>
      </c>
      <c r="B65" s="115" t="s">
        <v>140</v>
      </c>
      <c r="C65" s="61">
        <v>33738</v>
      </c>
      <c r="D65" s="20"/>
      <c r="E65" s="23"/>
      <c r="F65" s="19" t="s">
        <v>166</v>
      </c>
      <c r="G65" s="21">
        <v>12738</v>
      </c>
      <c r="H65" s="21">
        <v>2290</v>
      </c>
      <c r="I65" s="109">
        <f t="shared" si="4"/>
        <v>2290</v>
      </c>
      <c r="J65" s="105">
        <f>I65+55</f>
        <v>2345</v>
      </c>
      <c r="K65" s="90">
        <f>J65+55</f>
        <v>2400</v>
      </c>
    </row>
    <row r="66" spans="1:11" ht="12.6" customHeight="1" x14ac:dyDescent="0.3">
      <c r="A66" s="58" t="s">
        <v>129</v>
      </c>
      <c r="B66" s="115" t="s">
        <v>140</v>
      </c>
      <c r="C66" s="61">
        <v>33694</v>
      </c>
      <c r="D66" s="20"/>
      <c r="E66" s="23"/>
      <c r="F66" s="19" t="s">
        <v>168</v>
      </c>
      <c r="G66" s="21">
        <v>8492</v>
      </c>
      <c r="H66" s="21">
        <v>2222</v>
      </c>
      <c r="I66" s="109">
        <f t="shared" si="4"/>
        <v>2222</v>
      </c>
      <c r="J66" s="105">
        <f>I66+55</f>
        <v>2277</v>
      </c>
      <c r="K66" s="90">
        <f>J66+55</f>
        <v>2332</v>
      </c>
    </row>
    <row r="67" spans="1:11" ht="12.6" customHeight="1" x14ac:dyDescent="0.3">
      <c r="A67" s="58" t="s">
        <v>69</v>
      </c>
      <c r="B67" s="115" t="s">
        <v>140</v>
      </c>
      <c r="C67" s="61">
        <v>33968</v>
      </c>
      <c r="D67" s="20"/>
      <c r="E67" s="23"/>
      <c r="F67" s="19" t="s">
        <v>163</v>
      </c>
      <c r="G67" s="21">
        <v>10941</v>
      </c>
      <c r="H67" s="21">
        <v>2324</v>
      </c>
      <c r="I67" s="109">
        <f t="shared" si="4"/>
        <v>2324</v>
      </c>
      <c r="J67" s="105">
        <f>I67+55</f>
        <v>2379</v>
      </c>
      <c r="K67" s="90">
        <f>J67+55</f>
        <v>2434</v>
      </c>
    </row>
    <row r="68" spans="1:11" ht="12.6" customHeight="1" x14ac:dyDescent="0.3">
      <c r="A68" s="58" t="s">
        <v>126</v>
      </c>
      <c r="B68" s="115" t="s">
        <v>229</v>
      </c>
      <c r="C68" s="61">
        <v>33739</v>
      </c>
      <c r="D68" s="20"/>
      <c r="E68" s="23"/>
      <c r="F68" s="19" t="s">
        <v>165</v>
      </c>
      <c r="G68" s="21">
        <v>6323</v>
      </c>
      <c r="H68" s="21">
        <v>1129</v>
      </c>
      <c r="I68" s="109">
        <f t="shared" si="4"/>
        <v>1129</v>
      </c>
      <c r="J68" s="105">
        <f>I68+15</f>
        <v>1144</v>
      </c>
      <c r="K68" s="90">
        <f>J68+10</f>
        <v>1154</v>
      </c>
    </row>
    <row r="69" spans="1:11" ht="12.6" customHeight="1" x14ac:dyDescent="0.3">
      <c r="A69" s="75" t="s">
        <v>78</v>
      </c>
      <c r="B69" s="114" t="s">
        <v>267</v>
      </c>
      <c r="C69" s="61">
        <v>30041</v>
      </c>
      <c r="D69" s="20"/>
      <c r="E69" s="23"/>
      <c r="F69" s="19" t="s">
        <v>178</v>
      </c>
      <c r="G69" s="21">
        <v>13185</v>
      </c>
      <c r="H69" s="21">
        <v>3112</v>
      </c>
      <c r="I69" s="109">
        <f t="shared" si="4"/>
        <v>3112</v>
      </c>
      <c r="J69" s="106">
        <f>I69+30</f>
        <v>3142</v>
      </c>
      <c r="K69" s="91">
        <f>J69+30</f>
        <v>3172</v>
      </c>
    </row>
    <row r="70" spans="1:11" ht="12.6" customHeight="1" x14ac:dyDescent="0.3">
      <c r="A70" s="75" t="s">
        <v>121</v>
      </c>
      <c r="B70" s="114" t="s">
        <v>267</v>
      </c>
      <c r="C70" s="61">
        <v>31351</v>
      </c>
      <c r="D70" s="20"/>
      <c r="E70" s="23"/>
      <c r="F70" s="19" t="s">
        <v>176</v>
      </c>
      <c r="G70" s="21">
        <v>12119</v>
      </c>
      <c r="H70" s="21">
        <v>3201</v>
      </c>
      <c r="I70" s="109">
        <f t="shared" si="4"/>
        <v>3201</v>
      </c>
      <c r="J70" s="106">
        <f>I70+30</f>
        <v>3231</v>
      </c>
      <c r="K70" s="91">
        <f>J70+30</f>
        <v>3261</v>
      </c>
    </row>
    <row r="71" spans="1:11" ht="12.6" customHeight="1" x14ac:dyDescent="0.3">
      <c r="A71" s="75" t="s">
        <v>125</v>
      </c>
      <c r="B71" s="114" t="s">
        <v>267</v>
      </c>
      <c r="C71" s="61">
        <v>33327</v>
      </c>
      <c r="D71" s="20"/>
      <c r="E71" s="23"/>
      <c r="F71" s="19" t="s">
        <v>172</v>
      </c>
      <c r="G71" s="21">
        <v>11952</v>
      </c>
      <c r="H71" s="21">
        <v>3533</v>
      </c>
      <c r="I71" s="109">
        <f t="shared" si="4"/>
        <v>3533</v>
      </c>
      <c r="J71" s="106">
        <f>I71+30</f>
        <v>3563</v>
      </c>
      <c r="K71" s="91">
        <f>J71+30</f>
        <v>3593</v>
      </c>
    </row>
    <row r="72" spans="1:11" ht="12.6" customHeight="1" x14ac:dyDescent="0.3">
      <c r="A72" s="75" t="s">
        <v>122</v>
      </c>
      <c r="B72" s="114" t="s">
        <v>267</v>
      </c>
      <c r="C72" s="61">
        <v>33177</v>
      </c>
      <c r="D72" s="20"/>
      <c r="E72" s="23"/>
      <c r="F72" s="19" t="s">
        <v>173</v>
      </c>
      <c r="G72" s="21">
        <v>12669</v>
      </c>
      <c r="H72" s="21">
        <v>3779</v>
      </c>
      <c r="I72" s="109">
        <f t="shared" si="4"/>
        <v>3779</v>
      </c>
      <c r="J72" s="106">
        <f>I72+30</f>
        <v>3809</v>
      </c>
      <c r="K72" s="91">
        <f>J72+30</f>
        <v>3839</v>
      </c>
    </row>
    <row r="73" spans="1:11" ht="12.6" customHeight="1" x14ac:dyDescent="0.3">
      <c r="A73" s="58" t="s">
        <v>74</v>
      </c>
      <c r="B73" s="115" t="s">
        <v>140</v>
      </c>
      <c r="C73" s="61">
        <v>33788</v>
      </c>
      <c r="D73" s="20"/>
      <c r="E73" s="23"/>
      <c r="F73" s="19" t="s">
        <v>164</v>
      </c>
      <c r="G73" s="21">
        <v>12434</v>
      </c>
      <c r="H73" s="21">
        <v>3002</v>
      </c>
      <c r="I73" s="109">
        <f t="shared" si="4"/>
        <v>3002</v>
      </c>
      <c r="J73" s="105">
        <f>I73+55</f>
        <v>3057</v>
      </c>
      <c r="K73" s="90">
        <f>J73+55</f>
        <v>3112</v>
      </c>
    </row>
    <row r="74" spans="1:11" ht="12.6" customHeight="1" x14ac:dyDescent="0.3">
      <c r="A74" s="75" t="s">
        <v>128</v>
      </c>
      <c r="B74" s="114" t="s">
        <v>267</v>
      </c>
      <c r="C74" s="61">
        <v>30255</v>
      </c>
      <c r="D74" s="20"/>
      <c r="E74" s="23"/>
      <c r="F74" s="19" t="s">
        <v>187</v>
      </c>
      <c r="G74" s="21">
        <v>12254</v>
      </c>
      <c r="H74" s="21">
        <v>1896</v>
      </c>
      <c r="I74" s="109">
        <f t="shared" si="4"/>
        <v>1896</v>
      </c>
      <c r="J74" s="106">
        <f>I74+30</f>
        <v>1926</v>
      </c>
      <c r="K74" s="91">
        <f>J74+30</f>
        <v>1956</v>
      </c>
    </row>
    <row r="75" spans="1:11" ht="12.6" customHeight="1" x14ac:dyDescent="0.3">
      <c r="A75" s="75" t="s">
        <v>77</v>
      </c>
      <c r="B75" s="114" t="s">
        <v>267</v>
      </c>
      <c r="C75" s="61">
        <v>33177</v>
      </c>
      <c r="D75" s="20"/>
      <c r="E75" s="23"/>
      <c r="F75" s="19" t="s">
        <v>173</v>
      </c>
      <c r="G75" s="21">
        <v>10008</v>
      </c>
      <c r="H75" s="21">
        <v>2119</v>
      </c>
      <c r="I75" s="109">
        <f t="shared" si="4"/>
        <v>2119</v>
      </c>
      <c r="J75" s="106">
        <f>I75+30</f>
        <v>2149</v>
      </c>
      <c r="K75" s="91">
        <f>J75+30</f>
        <v>2179</v>
      </c>
    </row>
    <row r="76" spans="1:11" ht="12.6" customHeight="1" x14ac:dyDescent="0.3">
      <c r="A76" s="75" t="s">
        <v>65</v>
      </c>
      <c r="B76" s="114" t="s">
        <v>267</v>
      </c>
      <c r="C76" s="61">
        <v>33327</v>
      </c>
      <c r="D76" s="20"/>
      <c r="E76" s="23"/>
      <c r="F76" s="19" t="s">
        <v>172</v>
      </c>
      <c r="G76" s="21">
        <v>12274</v>
      </c>
      <c r="H76" s="21">
        <v>2606</v>
      </c>
      <c r="I76" s="109">
        <f t="shared" si="4"/>
        <v>2606</v>
      </c>
      <c r="J76" s="106">
        <f>I76+30</f>
        <v>2636</v>
      </c>
      <c r="K76" s="91">
        <f>J76+30</f>
        <v>2666</v>
      </c>
    </row>
    <row r="77" spans="1:11" ht="12.6" customHeight="1" x14ac:dyDescent="0.3">
      <c r="A77" s="75" t="s">
        <v>90</v>
      </c>
      <c r="B77" s="114" t="s">
        <v>267</v>
      </c>
      <c r="C77" s="61">
        <v>33116</v>
      </c>
      <c r="D77" s="20"/>
      <c r="E77" s="23"/>
      <c r="F77" s="19" t="s">
        <v>183</v>
      </c>
      <c r="G77" s="21">
        <v>13745</v>
      </c>
      <c r="H77" s="21">
        <v>3754</v>
      </c>
      <c r="I77" s="109">
        <f t="shared" si="4"/>
        <v>3754</v>
      </c>
      <c r="J77" s="106">
        <f>I77+30</f>
        <v>3784</v>
      </c>
      <c r="K77" s="91">
        <f>J77+30</f>
        <v>3814</v>
      </c>
    </row>
    <row r="78" spans="1:11" ht="12.6" customHeight="1" x14ac:dyDescent="0.3">
      <c r="A78" s="46" t="s">
        <v>119</v>
      </c>
      <c r="B78" s="113" t="s">
        <v>140</v>
      </c>
      <c r="C78" s="61">
        <v>33724</v>
      </c>
      <c r="D78" s="20"/>
      <c r="E78" s="23"/>
      <c r="F78" s="19" t="s">
        <v>167</v>
      </c>
      <c r="G78" s="21">
        <v>13113</v>
      </c>
      <c r="H78" s="21">
        <v>4250</v>
      </c>
      <c r="I78" s="109">
        <f t="shared" si="4"/>
        <v>4250</v>
      </c>
      <c r="J78" s="105">
        <f>I78+55</f>
        <v>4305</v>
      </c>
      <c r="K78" s="90">
        <f>J78+55</f>
        <v>4360</v>
      </c>
    </row>
    <row r="79" spans="1:11" ht="12.6" customHeight="1" x14ac:dyDescent="0.3">
      <c r="A79" s="75" t="s">
        <v>113</v>
      </c>
      <c r="B79" s="114" t="s">
        <v>267</v>
      </c>
      <c r="C79" s="61">
        <v>33389</v>
      </c>
      <c r="D79" s="20"/>
      <c r="E79" s="23"/>
      <c r="F79" s="19" t="s">
        <v>171</v>
      </c>
      <c r="G79" s="21">
        <v>10847</v>
      </c>
      <c r="H79" s="21">
        <v>3702</v>
      </c>
      <c r="I79" s="109">
        <f t="shared" si="4"/>
        <v>3702</v>
      </c>
      <c r="J79" s="106">
        <f>I79+30</f>
        <v>3732</v>
      </c>
      <c r="K79" s="91">
        <f>J79+30</f>
        <v>3762</v>
      </c>
    </row>
    <row r="80" spans="1:11" ht="12.6" customHeight="1" x14ac:dyDescent="0.3">
      <c r="A80" s="46" t="s">
        <v>76</v>
      </c>
      <c r="B80" s="115" t="s">
        <v>140</v>
      </c>
      <c r="C80" s="47">
        <v>33739</v>
      </c>
      <c r="D80" s="23"/>
      <c r="E80" s="23"/>
      <c r="F80" s="19" t="s">
        <v>165</v>
      </c>
      <c r="G80" s="21">
        <v>15528</v>
      </c>
      <c r="H80" s="21">
        <v>2094</v>
      </c>
      <c r="I80" s="109">
        <f t="shared" si="4"/>
        <v>2094</v>
      </c>
      <c r="J80" s="105">
        <f>I80+55</f>
        <v>2149</v>
      </c>
      <c r="K80" s="90">
        <f>J80+55</f>
        <v>2204</v>
      </c>
    </row>
    <row r="81" spans="1:11" ht="12.6" customHeight="1" x14ac:dyDescent="0.3">
      <c r="A81" s="75" t="s">
        <v>123</v>
      </c>
      <c r="B81" s="114" t="s">
        <v>267</v>
      </c>
      <c r="C81" s="47">
        <v>32020</v>
      </c>
      <c r="D81" s="23"/>
      <c r="E81" s="23"/>
      <c r="F81" s="19" t="s">
        <v>184</v>
      </c>
      <c r="G81" s="21">
        <v>11432</v>
      </c>
      <c r="H81" s="21">
        <v>2712</v>
      </c>
      <c r="I81" s="109">
        <f t="shared" si="4"/>
        <v>2712</v>
      </c>
      <c r="J81" s="106">
        <f>I81+30</f>
        <v>2742</v>
      </c>
      <c r="K81" s="91">
        <f>J81+30</f>
        <v>2772</v>
      </c>
    </row>
    <row r="82" spans="1:11" ht="12.6" customHeight="1" x14ac:dyDescent="0.3">
      <c r="A82" s="46" t="s">
        <v>84</v>
      </c>
      <c r="B82" s="113" t="s">
        <v>140</v>
      </c>
      <c r="C82" s="47">
        <v>33217</v>
      </c>
      <c r="D82" s="23"/>
      <c r="E82" s="23"/>
      <c r="F82" s="19" t="s">
        <v>182</v>
      </c>
      <c r="G82" s="21">
        <v>16197</v>
      </c>
      <c r="H82" s="21">
        <v>3509</v>
      </c>
      <c r="I82" s="109">
        <f t="shared" si="4"/>
        <v>3509</v>
      </c>
      <c r="J82" s="105">
        <f>I82+55</f>
        <v>3564</v>
      </c>
      <c r="K82" s="90">
        <f>J82+55</f>
        <v>3619</v>
      </c>
    </row>
    <row r="83" spans="1:11" ht="12.6" customHeight="1" x14ac:dyDescent="0.3">
      <c r="A83" s="46" t="s">
        <v>87</v>
      </c>
      <c r="B83" s="116"/>
      <c r="C83" s="47">
        <v>30559</v>
      </c>
      <c r="D83" s="23"/>
      <c r="E83" s="23"/>
      <c r="F83" s="19" t="s">
        <v>186</v>
      </c>
      <c r="G83" s="21">
        <v>14178</v>
      </c>
      <c r="H83" s="21">
        <v>3754</v>
      </c>
      <c r="I83" s="109">
        <f t="shared" si="4"/>
        <v>3754</v>
      </c>
      <c r="J83" s="105">
        <f>I83+55</f>
        <v>3809</v>
      </c>
      <c r="K83" s="90">
        <f>J83+55</f>
        <v>3864</v>
      </c>
    </row>
    <row r="84" spans="1:11" ht="12.6" customHeight="1" x14ac:dyDescent="0.3">
      <c r="A84" s="46" t="s">
        <v>95</v>
      </c>
      <c r="B84" s="113"/>
      <c r="C84" s="47">
        <v>33788</v>
      </c>
      <c r="D84" s="47"/>
      <c r="E84" s="23"/>
      <c r="F84" s="19" t="s">
        <v>164</v>
      </c>
      <c r="G84" s="21">
        <v>9462</v>
      </c>
      <c r="H84" s="21">
        <v>2362</v>
      </c>
      <c r="I84" s="109">
        <f t="shared" ref="I84:I92" si="5">H84+0</f>
        <v>2362</v>
      </c>
      <c r="J84" s="105">
        <f>I84+55</f>
        <v>2417</v>
      </c>
      <c r="K84" s="90">
        <f>J84+55</f>
        <v>2472</v>
      </c>
    </row>
    <row r="85" spans="1:11" ht="12.6" customHeight="1" x14ac:dyDescent="0.3">
      <c r="A85" s="46" t="s">
        <v>89</v>
      </c>
      <c r="B85" s="113"/>
      <c r="C85" s="47">
        <v>34628</v>
      </c>
      <c r="D85" s="47"/>
      <c r="E85" s="23"/>
      <c r="F85" s="19" t="s">
        <v>180</v>
      </c>
      <c r="G85" s="21">
        <v>13128</v>
      </c>
      <c r="H85" s="21">
        <v>1778</v>
      </c>
      <c r="I85" s="109">
        <f t="shared" si="5"/>
        <v>1778</v>
      </c>
      <c r="J85" s="105">
        <f>I85+55</f>
        <v>1833</v>
      </c>
      <c r="K85" s="90">
        <f>J85+55</f>
        <v>1888</v>
      </c>
    </row>
    <row r="86" spans="1:11" ht="12.6" customHeight="1" x14ac:dyDescent="0.3">
      <c r="A86" s="49" t="s">
        <v>96</v>
      </c>
      <c r="B86" s="113" t="s">
        <v>251</v>
      </c>
      <c r="C86" s="47">
        <v>31290</v>
      </c>
      <c r="D86" s="47"/>
      <c r="E86" s="23"/>
      <c r="F86" s="19" t="s">
        <v>185</v>
      </c>
      <c r="G86" s="21">
        <v>10523</v>
      </c>
      <c r="H86" s="21">
        <v>2033</v>
      </c>
      <c r="I86" s="109">
        <f t="shared" si="5"/>
        <v>2033</v>
      </c>
      <c r="J86" s="105">
        <f>I86+55</f>
        <v>2088</v>
      </c>
      <c r="K86" s="90">
        <f>J86+55</f>
        <v>2143</v>
      </c>
    </row>
    <row r="87" spans="1:11" ht="12.6" customHeight="1" x14ac:dyDescent="0.3">
      <c r="A87" s="46" t="s">
        <v>91</v>
      </c>
      <c r="B87" s="113"/>
      <c r="C87" s="47">
        <v>33327</v>
      </c>
      <c r="D87" s="47"/>
      <c r="E87" s="23"/>
      <c r="F87" s="19" t="s">
        <v>172</v>
      </c>
      <c r="G87" s="21">
        <v>13379</v>
      </c>
      <c r="H87" s="21">
        <v>2488</v>
      </c>
      <c r="I87" s="109">
        <f t="shared" si="5"/>
        <v>2488</v>
      </c>
      <c r="J87" s="105">
        <f>I87+55</f>
        <v>2543</v>
      </c>
      <c r="K87" s="90">
        <f>J87+55</f>
        <v>2598</v>
      </c>
    </row>
    <row r="88" spans="1:11" ht="12.6" customHeight="1" x14ac:dyDescent="0.3">
      <c r="A88" s="46" t="s">
        <v>88</v>
      </c>
      <c r="B88" s="113"/>
      <c r="C88" s="47">
        <v>31290</v>
      </c>
      <c r="D88" s="47"/>
      <c r="E88" s="23"/>
      <c r="F88" s="19" t="s">
        <v>185</v>
      </c>
      <c r="G88" s="21">
        <v>9041</v>
      </c>
      <c r="H88" s="21">
        <v>3167</v>
      </c>
      <c r="I88" s="109">
        <f t="shared" si="5"/>
        <v>3167</v>
      </c>
      <c r="J88" s="105">
        <f>I88+55</f>
        <v>3222</v>
      </c>
      <c r="K88" s="90">
        <f>J88+55</f>
        <v>3277</v>
      </c>
    </row>
    <row r="89" spans="1:11" ht="12.6" customHeight="1" x14ac:dyDescent="0.3">
      <c r="A89" s="75" t="s">
        <v>83</v>
      </c>
      <c r="B89" s="114" t="s">
        <v>267</v>
      </c>
      <c r="C89" s="47">
        <v>33511</v>
      </c>
      <c r="D89" s="47"/>
      <c r="E89" s="23"/>
      <c r="F89" s="19" t="s">
        <v>170</v>
      </c>
      <c r="G89" s="21">
        <v>13961</v>
      </c>
      <c r="H89" s="21">
        <v>3782</v>
      </c>
      <c r="I89" s="109">
        <f t="shared" si="5"/>
        <v>3782</v>
      </c>
      <c r="J89" s="106">
        <f>I89+30</f>
        <v>3812</v>
      </c>
      <c r="K89" s="91">
        <f>J89+30</f>
        <v>3842</v>
      </c>
    </row>
    <row r="90" spans="1:11" ht="12.6" customHeight="1" x14ac:dyDescent="0.3">
      <c r="A90" s="49" t="s">
        <v>82</v>
      </c>
      <c r="B90" s="113" t="s">
        <v>251</v>
      </c>
      <c r="C90" s="47">
        <v>34027</v>
      </c>
      <c r="D90" s="47"/>
      <c r="E90" s="23"/>
      <c r="F90" s="19" t="s">
        <v>181</v>
      </c>
      <c r="G90" s="21">
        <v>7820</v>
      </c>
      <c r="H90" s="21">
        <v>3454</v>
      </c>
      <c r="I90" s="109">
        <f t="shared" si="5"/>
        <v>3454</v>
      </c>
      <c r="J90" s="105">
        <f>I90+55</f>
        <v>3509</v>
      </c>
      <c r="K90" s="90">
        <f>J90+55</f>
        <v>3564</v>
      </c>
    </row>
    <row r="91" spans="1:11" ht="12.6" customHeight="1" x14ac:dyDescent="0.3">
      <c r="A91" s="46" t="s">
        <v>79</v>
      </c>
      <c r="B91" s="113"/>
      <c r="C91" s="47">
        <v>33788</v>
      </c>
      <c r="D91" s="47"/>
      <c r="E91" s="23"/>
      <c r="F91" s="19" t="s">
        <v>164</v>
      </c>
      <c r="G91" s="21">
        <v>10562</v>
      </c>
      <c r="H91" s="21">
        <v>996</v>
      </c>
      <c r="I91" s="109">
        <f t="shared" si="5"/>
        <v>996</v>
      </c>
      <c r="J91" s="105">
        <f>I91+55</f>
        <v>1051</v>
      </c>
      <c r="K91" s="90">
        <f>J91+55</f>
        <v>1106</v>
      </c>
    </row>
    <row r="92" spans="1:11" ht="12.6" customHeight="1" x14ac:dyDescent="0.3">
      <c r="A92" s="46" t="s">
        <v>70</v>
      </c>
      <c r="B92" s="117"/>
      <c r="C92" s="47">
        <v>33602</v>
      </c>
      <c r="D92" s="47"/>
      <c r="E92" s="23"/>
      <c r="F92" s="19" t="s">
        <v>169</v>
      </c>
      <c r="G92" s="21">
        <v>11612</v>
      </c>
      <c r="H92" s="21">
        <v>1123</v>
      </c>
      <c r="I92" s="109">
        <f t="shared" si="5"/>
        <v>1123</v>
      </c>
      <c r="J92" s="105">
        <f>I92+55</f>
        <v>1178</v>
      </c>
      <c r="K92" s="90">
        <f>J92+55</f>
        <v>1233</v>
      </c>
    </row>
  </sheetData>
  <mergeCells count="1">
    <mergeCell ref="J1:K1"/>
  </mergeCells>
  <conditionalFormatting sqref="K25 J3:K12 J14 J15:K16 J19:K24 J26:K26 K28:K61 J81:K81 J89:K89 K64:K68 K73 K78 K80 K82:K84 K88 K91:K92 J79:K79 J62:K63 J69:K72 J74:K77 I3:I39 I45:I79">
    <cfRule type="cellIs" dxfId="412" priority="533" operator="greaterThan">
      <formula>4500</formula>
    </cfRule>
  </conditionalFormatting>
  <conditionalFormatting sqref="I82">
    <cfRule type="cellIs" dxfId="411" priority="458" operator="greaterThan">
      <formula>4500</formula>
    </cfRule>
  </conditionalFormatting>
  <conditionalFormatting sqref="I91:I92">
    <cfRule type="cellIs" dxfId="410" priority="407" operator="greaterThan">
      <formula>4500</formula>
    </cfRule>
  </conditionalFormatting>
  <conditionalFormatting sqref="K27">
    <cfRule type="cellIs" dxfId="409" priority="179" operator="greaterThan">
      <formula>4500</formula>
    </cfRule>
  </conditionalFormatting>
  <conditionalFormatting sqref="K13:K14">
    <cfRule type="cellIs" dxfId="408" priority="177" operator="greaterThan">
      <formula>4500</formula>
    </cfRule>
  </conditionalFormatting>
  <conditionalFormatting sqref="K18">
    <cfRule type="cellIs" dxfId="407" priority="175" operator="greaterThan">
      <formula>4500</formula>
    </cfRule>
  </conditionalFormatting>
  <conditionalFormatting sqref="J17:K17">
    <cfRule type="cellIs" dxfId="406" priority="173" operator="greaterThan">
      <formula>4500</formula>
    </cfRule>
  </conditionalFormatting>
  <conditionalFormatting sqref="K85:K86">
    <cfRule type="cellIs" dxfId="405" priority="167" operator="greaterThan">
      <formula>4500</formula>
    </cfRule>
  </conditionalFormatting>
  <conditionalFormatting sqref="K87">
    <cfRule type="cellIs" dxfId="404" priority="146" operator="greaterThan">
      <formula>4500</formula>
    </cfRule>
  </conditionalFormatting>
  <conditionalFormatting sqref="J13">
    <cfRule type="cellIs" dxfId="403" priority="136" operator="greaterThan">
      <formula>4500</formula>
    </cfRule>
  </conditionalFormatting>
  <conditionalFormatting sqref="J27:J33">
    <cfRule type="cellIs" dxfId="402" priority="135" operator="greaterThan">
      <formula>4500</formula>
    </cfRule>
  </conditionalFormatting>
  <conditionalFormatting sqref="J34:J60">
    <cfRule type="cellIs" dxfId="401" priority="134" operator="greaterThan">
      <formula>4500</formula>
    </cfRule>
  </conditionalFormatting>
  <conditionalFormatting sqref="J61">
    <cfRule type="cellIs" dxfId="400" priority="133" operator="greaterThan">
      <formula>4500</formula>
    </cfRule>
  </conditionalFormatting>
  <conditionalFormatting sqref="J64">
    <cfRule type="cellIs" dxfId="399" priority="125" operator="greaterThan">
      <formula>4500</formula>
    </cfRule>
  </conditionalFormatting>
  <conditionalFormatting sqref="J65">
    <cfRule type="cellIs" dxfId="398" priority="124" operator="greaterThan">
      <formula>4500</formula>
    </cfRule>
  </conditionalFormatting>
  <conditionalFormatting sqref="J66">
    <cfRule type="cellIs" dxfId="397" priority="123" operator="greaterThan">
      <formula>4500</formula>
    </cfRule>
  </conditionalFormatting>
  <conditionalFormatting sqref="J67">
    <cfRule type="cellIs" dxfId="396" priority="122" operator="greaterThan">
      <formula>4500</formula>
    </cfRule>
  </conditionalFormatting>
  <conditionalFormatting sqref="J68">
    <cfRule type="cellIs" dxfId="395" priority="121" operator="greaterThan">
      <formula>4500</formula>
    </cfRule>
  </conditionalFormatting>
  <conditionalFormatting sqref="J73">
    <cfRule type="cellIs" dxfId="394" priority="120" operator="greaterThan">
      <formula>4500</formula>
    </cfRule>
  </conditionalFormatting>
  <conditionalFormatting sqref="J78">
    <cfRule type="cellIs" dxfId="393" priority="119" operator="greaterThan">
      <formula>4500</formula>
    </cfRule>
  </conditionalFormatting>
  <conditionalFormatting sqref="J80">
    <cfRule type="cellIs" dxfId="392" priority="118" operator="greaterThan">
      <formula>4500</formula>
    </cfRule>
  </conditionalFormatting>
  <conditionalFormatting sqref="J82">
    <cfRule type="cellIs" dxfId="391" priority="117" operator="greaterThan">
      <formula>4500</formula>
    </cfRule>
  </conditionalFormatting>
  <conditionalFormatting sqref="J83">
    <cfRule type="cellIs" dxfId="390" priority="116" operator="greaterThan">
      <formula>4500</formula>
    </cfRule>
  </conditionalFormatting>
  <conditionalFormatting sqref="J84">
    <cfRule type="cellIs" dxfId="389" priority="115" operator="greaterThan">
      <formula>4500</formula>
    </cfRule>
  </conditionalFormatting>
  <conditionalFormatting sqref="J85:J86">
    <cfRule type="cellIs" dxfId="388" priority="114" operator="greaterThan">
      <formula>4500</formula>
    </cfRule>
  </conditionalFormatting>
  <conditionalFormatting sqref="J87">
    <cfRule type="cellIs" dxfId="387" priority="113" operator="greaterThan">
      <formula>4500</formula>
    </cfRule>
  </conditionalFormatting>
  <conditionalFormatting sqref="J88">
    <cfRule type="cellIs" dxfId="386" priority="112" operator="greaterThan">
      <formula>4500</formula>
    </cfRule>
  </conditionalFormatting>
  <conditionalFormatting sqref="J91">
    <cfRule type="cellIs" dxfId="385" priority="111" operator="greaterThan">
      <formula>4500</formula>
    </cfRule>
  </conditionalFormatting>
  <conditionalFormatting sqref="J92">
    <cfRule type="cellIs" dxfId="384" priority="110" operator="greaterThan">
      <formula>4500</formula>
    </cfRule>
  </conditionalFormatting>
  <conditionalFormatting sqref="J2:K2">
    <cfRule type="containsText" dxfId="383" priority="109" operator="containsText" text="хранение">
      <formula>NOT(ISERROR(SEARCH("хранение",J2)))</formula>
    </cfRule>
  </conditionalFormatting>
  <conditionalFormatting sqref="F1">
    <cfRule type="containsText" dxfId="382" priority="88" operator="containsText" text="хранение">
      <formula>NOT(ISERROR(SEARCH("хранение",F1)))</formula>
    </cfRule>
  </conditionalFormatting>
  <conditionalFormatting sqref="F1">
    <cfRule type="containsText" dxfId="381" priority="87" operator="containsText" text="продление">
      <formula>NOT(ISERROR(SEARCH("продление",F1)))</formula>
    </cfRule>
  </conditionalFormatting>
  <conditionalFormatting sqref="K90">
    <cfRule type="cellIs" dxfId="380" priority="77" operator="greaterThan">
      <formula>4500</formula>
    </cfRule>
  </conditionalFormatting>
  <conditionalFormatting sqref="J90">
    <cfRule type="cellIs" dxfId="379" priority="76" operator="greaterThan">
      <formula>4500</formula>
    </cfRule>
  </conditionalFormatting>
  <pageMargins left="0.7" right="0.7" top="0.75" bottom="0.75" header="0.3" footer="0.3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70"/>
  <sheetViews>
    <sheetView tabSelected="1" zoomScale="90" zoomScaleNormal="90" workbookViewId="0">
      <pane ySplit="2" topLeftCell="A3" activePane="bottomLeft" state="frozen"/>
      <selection pane="bottomLeft" activeCell="K70" sqref="K3:K70"/>
    </sheetView>
  </sheetViews>
  <sheetFormatPr defaultColWidth="9.109375" defaultRowHeight="12" x14ac:dyDescent="0.3"/>
  <cols>
    <col min="1" max="1" width="8.77734375" style="1" customWidth="1"/>
    <col min="2" max="2" width="10.6640625" style="2" customWidth="1"/>
    <col min="3" max="3" width="10.109375" style="1" customWidth="1"/>
    <col min="4" max="4" width="11.109375" style="1" customWidth="1"/>
    <col min="5" max="5" width="8.44140625" style="32" customWidth="1"/>
    <col min="6" max="7" width="8.77734375" style="2" customWidth="1"/>
    <col min="8" max="8" width="12.88671875" style="1" customWidth="1"/>
    <col min="9" max="9" width="10.33203125" style="1" customWidth="1"/>
    <col min="10" max="11" width="6.5546875" style="1" customWidth="1"/>
    <col min="12" max="16384" width="9.109375" style="1"/>
  </cols>
  <sheetData>
    <row r="1" spans="1:11" ht="37.200000000000003" customHeight="1" thickBot="1" x14ac:dyDescent="0.35">
      <c r="A1" s="9"/>
      <c r="B1" s="11"/>
      <c r="C1" s="10"/>
      <c r="D1" s="10"/>
      <c r="E1" s="28"/>
      <c r="F1" s="97" t="s">
        <v>266</v>
      </c>
      <c r="G1" s="11"/>
      <c r="H1" s="97"/>
      <c r="I1" s="101" t="s">
        <v>228</v>
      </c>
      <c r="J1" s="125">
        <v>2025</v>
      </c>
      <c r="K1" s="126"/>
    </row>
    <row r="2" spans="1:11" s="2" customFormat="1" ht="36" customHeight="1" thickBot="1" x14ac:dyDescent="0.35">
      <c r="A2" s="13" t="s">
        <v>0</v>
      </c>
      <c r="B2" s="14" t="s">
        <v>1</v>
      </c>
      <c r="C2" s="14" t="s">
        <v>2</v>
      </c>
      <c r="D2" s="14" t="s">
        <v>3</v>
      </c>
      <c r="E2" s="29" t="s">
        <v>72</v>
      </c>
      <c r="F2" s="14" t="s">
        <v>4</v>
      </c>
      <c r="G2" s="14" t="s">
        <v>5</v>
      </c>
      <c r="H2" s="65" t="s">
        <v>135</v>
      </c>
      <c r="I2" s="102"/>
      <c r="J2" s="103" t="s">
        <v>249</v>
      </c>
      <c r="K2" s="86" t="s">
        <v>250</v>
      </c>
    </row>
    <row r="3" spans="1:11" ht="19.8" customHeight="1" x14ac:dyDescent="0.3">
      <c r="A3" s="26" t="s">
        <v>6</v>
      </c>
      <c r="B3" s="5" t="s">
        <v>58</v>
      </c>
      <c r="C3" s="3" t="s">
        <v>38</v>
      </c>
      <c r="D3" s="4">
        <v>32274</v>
      </c>
      <c r="E3" s="30">
        <v>19931</v>
      </c>
      <c r="F3" s="38">
        <v>4465</v>
      </c>
      <c r="G3" s="37">
        <f t="shared" ref="G3:G8" si="0">4500-F3</f>
        <v>35</v>
      </c>
      <c r="H3" s="66" t="s">
        <v>15</v>
      </c>
      <c r="I3" s="84"/>
      <c r="J3" s="87" t="s">
        <v>15</v>
      </c>
      <c r="K3" s="88" t="s">
        <v>15</v>
      </c>
    </row>
    <row r="4" spans="1:11" ht="19.8" customHeight="1" x14ac:dyDescent="0.3">
      <c r="A4" s="26" t="s">
        <v>6</v>
      </c>
      <c r="B4" s="95" t="s">
        <v>52</v>
      </c>
      <c r="C4" s="3" t="s">
        <v>9</v>
      </c>
      <c r="D4" s="12">
        <v>33203</v>
      </c>
      <c r="E4" s="31">
        <v>13356</v>
      </c>
      <c r="F4" s="38">
        <v>4461</v>
      </c>
      <c r="G4" s="37">
        <f t="shared" si="0"/>
        <v>39</v>
      </c>
      <c r="H4" s="66" t="s">
        <v>15</v>
      </c>
      <c r="I4" s="84"/>
      <c r="J4" s="89" t="s">
        <v>15</v>
      </c>
      <c r="K4" s="27" t="s">
        <v>15</v>
      </c>
    </row>
    <row r="5" spans="1:11" ht="19.8" customHeight="1" x14ac:dyDescent="0.3">
      <c r="A5" s="26" t="s">
        <v>6</v>
      </c>
      <c r="B5" s="95" t="s">
        <v>40</v>
      </c>
      <c r="C5" s="3" t="s">
        <v>191</v>
      </c>
      <c r="D5" s="12">
        <v>32128</v>
      </c>
      <c r="E5" s="31">
        <v>14405</v>
      </c>
      <c r="F5" s="38">
        <v>4452</v>
      </c>
      <c r="G5" s="37">
        <f t="shared" si="0"/>
        <v>48</v>
      </c>
      <c r="H5" s="66" t="s">
        <v>15</v>
      </c>
      <c r="I5" s="84"/>
      <c r="J5" s="89" t="s">
        <v>15</v>
      </c>
      <c r="K5" s="27" t="s">
        <v>15</v>
      </c>
    </row>
    <row r="6" spans="1:11" ht="19.8" customHeight="1" x14ac:dyDescent="0.3">
      <c r="A6" s="26" t="s">
        <v>6</v>
      </c>
      <c r="B6" s="95" t="s">
        <v>53</v>
      </c>
      <c r="C6" s="3" t="s">
        <v>11</v>
      </c>
      <c r="D6" s="4">
        <v>30901</v>
      </c>
      <c r="E6" s="30">
        <v>27059</v>
      </c>
      <c r="F6" s="38">
        <v>4425</v>
      </c>
      <c r="G6" s="37">
        <f t="shared" si="0"/>
        <v>75</v>
      </c>
      <c r="H6" s="66" t="s">
        <v>15</v>
      </c>
      <c r="I6" s="84"/>
      <c r="J6" s="89" t="s">
        <v>15</v>
      </c>
      <c r="K6" s="27" t="s">
        <v>15</v>
      </c>
    </row>
    <row r="7" spans="1:11" ht="19.8" customHeight="1" x14ac:dyDescent="0.3">
      <c r="A7" s="26" t="s">
        <v>6</v>
      </c>
      <c r="B7" s="95" t="s">
        <v>57</v>
      </c>
      <c r="C7" s="3" t="s">
        <v>261</v>
      </c>
      <c r="D7" s="4">
        <v>31783</v>
      </c>
      <c r="E7" s="30">
        <v>16259</v>
      </c>
      <c r="F7" s="38">
        <v>4363</v>
      </c>
      <c r="G7" s="15">
        <f t="shared" si="0"/>
        <v>137</v>
      </c>
      <c r="H7" s="66" t="s">
        <v>15</v>
      </c>
      <c r="I7" s="84"/>
      <c r="J7" s="89" t="s">
        <v>15</v>
      </c>
      <c r="K7" s="27" t="s">
        <v>15</v>
      </c>
    </row>
    <row r="8" spans="1:11" ht="19.8" customHeight="1" x14ac:dyDescent="0.3">
      <c r="A8" s="98" t="s">
        <v>6</v>
      </c>
      <c r="B8" s="95" t="s">
        <v>55</v>
      </c>
      <c r="C8" s="3" t="s">
        <v>34</v>
      </c>
      <c r="D8" s="4">
        <v>33851</v>
      </c>
      <c r="E8" s="30">
        <v>11415</v>
      </c>
      <c r="F8" s="38">
        <v>4260</v>
      </c>
      <c r="G8" s="15">
        <f t="shared" si="0"/>
        <v>240</v>
      </c>
      <c r="H8" s="68" t="s">
        <v>264</v>
      </c>
      <c r="I8" s="84">
        <f t="shared" ref="I8:I39" si="1">F8+0</f>
        <v>4260</v>
      </c>
      <c r="J8" s="99">
        <f>I8+40</f>
        <v>4300</v>
      </c>
      <c r="K8" s="42">
        <f t="shared" ref="K8:K27" si="2">J8+45</f>
        <v>4345</v>
      </c>
    </row>
    <row r="9" spans="1:11" ht="19.8" customHeight="1" x14ac:dyDescent="0.3">
      <c r="A9" s="6" t="s">
        <v>6</v>
      </c>
      <c r="B9" s="95" t="s">
        <v>196</v>
      </c>
      <c r="C9" s="3" t="s">
        <v>27</v>
      </c>
      <c r="D9" s="4">
        <v>32128</v>
      </c>
      <c r="E9" s="30">
        <v>21876</v>
      </c>
      <c r="F9" s="38">
        <v>4011</v>
      </c>
      <c r="G9" s="37">
        <f>4500-F9</f>
        <v>489</v>
      </c>
      <c r="H9" s="69"/>
      <c r="I9" s="84">
        <f t="shared" si="1"/>
        <v>4011</v>
      </c>
      <c r="J9" s="99">
        <f t="shared" ref="J9:J70" si="3">I9+40</f>
        <v>4051</v>
      </c>
      <c r="K9" s="42">
        <f t="shared" si="2"/>
        <v>4096</v>
      </c>
    </row>
    <row r="10" spans="1:11" ht="19.8" customHeight="1" x14ac:dyDescent="0.3">
      <c r="A10" s="7" t="s">
        <v>6</v>
      </c>
      <c r="B10" s="95" t="s">
        <v>36</v>
      </c>
      <c r="C10" s="3" t="s">
        <v>27</v>
      </c>
      <c r="D10" s="4">
        <v>32308</v>
      </c>
      <c r="E10" s="30">
        <v>21319</v>
      </c>
      <c r="F10" s="39">
        <v>4023</v>
      </c>
      <c r="G10" s="37">
        <f>4500-F10</f>
        <v>477</v>
      </c>
      <c r="H10" s="68"/>
      <c r="I10" s="84">
        <f t="shared" si="1"/>
        <v>4023</v>
      </c>
      <c r="J10" s="99">
        <f t="shared" si="3"/>
        <v>4063</v>
      </c>
      <c r="K10" s="42">
        <f t="shared" si="2"/>
        <v>4108</v>
      </c>
    </row>
    <row r="11" spans="1:11" ht="19.8" customHeight="1" x14ac:dyDescent="0.3">
      <c r="A11" s="7" t="s">
        <v>6</v>
      </c>
      <c r="B11" s="5" t="s">
        <v>54</v>
      </c>
      <c r="C11" s="3" t="s">
        <v>9</v>
      </c>
      <c r="D11" s="4">
        <v>32721</v>
      </c>
      <c r="E11" s="30">
        <v>14306</v>
      </c>
      <c r="F11" s="38">
        <v>3923</v>
      </c>
      <c r="G11" s="37">
        <f>4000-F11</f>
        <v>77</v>
      </c>
      <c r="H11" s="68"/>
      <c r="I11" s="84">
        <f t="shared" si="1"/>
        <v>3923</v>
      </c>
      <c r="J11" s="99">
        <f t="shared" si="3"/>
        <v>3963</v>
      </c>
      <c r="K11" s="42">
        <f t="shared" si="2"/>
        <v>4008</v>
      </c>
    </row>
    <row r="12" spans="1:11" ht="19.8" customHeight="1" x14ac:dyDescent="0.3">
      <c r="A12" s="6" t="s">
        <v>6</v>
      </c>
      <c r="B12" s="5" t="s">
        <v>59</v>
      </c>
      <c r="C12" s="3" t="s">
        <v>32</v>
      </c>
      <c r="D12" s="4">
        <v>33099</v>
      </c>
      <c r="E12" s="30">
        <v>15975</v>
      </c>
      <c r="F12" s="38">
        <v>3852</v>
      </c>
      <c r="G12" s="37">
        <f>4000-F12</f>
        <v>148</v>
      </c>
      <c r="H12" s="68"/>
      <c r="I12" s="84">
        <f t="shared" si="1"/>
        <v>3852</v>
      </c>
      <c r="J12" s="99">
        <f t="shared" si="3"/>
        <v>3892</v>
      </c>
      <c r="K12" s="42">
        <f t="shared" si="2"/>
        <v>3937</v>
      </c>
    </row>
    <row r="13" spans="1:11" ht="19.8" customHeight="1" x14ac:dyDescent="0.3">
      <c r="A13" s="7" t="s">
        <v>6</v>
      </c>
      <c r="B13" s="95" t="s">
        <v>44</v>
      </c>
      <c r="C13" s="8" t="s">
        <v>27</v>
      </c>
      <c r="D13" s="12">
        <v>33204</v>
      </c>
      <c r="E13" s="31">
        <v>16622</v>
      </c>
      <c r="F13" s="41">
        <v>3577</v>
      </c>
      <c r="G13" s="15">
        <f>4000-F13</f>
        <v>423</v>
      </c>
      <c r="H13" s="68"/>
      <c r="I13" s="84">
        <f t="shared" si="1"/>
        <v>3577</v>
      </c>
      <c r="J13" s="99">
        <f t="shared" si="3"/>
        <v>3617</v>
      </c>
      <c r="K13" s="42">
        <f t="shared" si="2"/>
        <v>3662</v>
      </c>
    </row>
    <row r="14" spans="1:11" ht="19.8" customHeight="1" x14ac:dyDescent="0.3">
      <c r="A14" s="7" t="s">
        <v>6</v>
      </c>
      <c r="B14" s="95" t="s">
        <v>23</v>
      </c>
      <c r="C14" s="3" t="s">
        <v>11</v>
      </c>
      <c r="D14" s="4">
        <v>32308</v>
      </c>
      <c r="E14" s="30">
        <v>17228</v>
      </c>
      <c r="F14" s="38">
        <v>3441</v>
      </c>
      <c r="G14" s="15">
        <f t="shared" ref="G14:G18" si="4">3500-F14</f>
        <v>59</v>
      </c>
      <c r="H14" s="70"/>
      <c r="I14" s="84">
        <f t="shared" si="1"/>
        <v>3441</v>
      </c>
      <c r="J14" s="99">
        <f t="shared" si="3"/>
        <v>3481</v>
      </c>
      <c r="K14" s="42">
        <f t="shared" si="2"/>
        <v>3526</v>
      </c>
    </row>
    <row r="15" spans="1:11" ht="19.8" customHeight="1" x14ac:dyDescent="0.3">
      <c r="A15" s="6" t="s">
        <v>6</v>
      </c>
      <c r="B15" s="5" t="s">
        <v>60</v>
      </c>
      <c r="C15" s="3" t="s">
        <v>19</v>
      </c>
      <c r="D15" s="4">
        <v>32223</v>
      </c>
      <c r="E15" s="30">
        <v>17236</v>
      </c>
      <c r="F15" s="38">
        <v>3486</v>
      </c>
      <c r="G15" s="37">
        <f t="shared" si="4"/>
        <v>14</v>
      </c>
      <c r="H15" s="68" t="s">
        <v>265</v>
      </c>
      <c r="I15" s="84">
        <f t="shared" si="1"/>
        <v>3486</v>
      </c>
      <c r="J15" s="99">
        <f t="shared" si="3"/>
        <v>3526</v>
      </c>
      <c r="K15" s="42">
        <f t="shared" si="2"/>
        <v>3571</v>
      </c>
    </row>
    <row r="16" spans="1:11" ht="19.8" customHeight="1" x14ac:dyDescent="0.3">
      <c r="A16" s="6" t="s">
        <v>6</v>
      </c>
      <c r="B16" s="5" t="s">
        <v>62</v>
      </c>
      <c r="C16" s="3" t="s">
        <v>231</v>
      </c>
      <c r="D16" s="4">
        <v>31120</v>
      </c>
      <c r="E16" s="30">
        <v>19435</v>
      </c>
      <c r="F16" s="38">
        <v>3241</v>
      </c>
      <c r="G16" s="15">
        <f t="shared" si="4"/>
        <v>259</v>
      </c>
      <c r="H16" s="68"/>
      <c r="I16" s="84">
        <f t="shared" si="1"/>
        <v>3241</v>
      </c>
      <c r="J16" s="99">
        <f t="shared" si="3"/>
        <v>3281</v>
      </c>
      <c r="K16" s="42">
        <f t="shared" si="2"/>
        <v>3326</v>
      </c>
    </row>
    <row r="17" spans="1:11" ht="19.8" customHeight="1" x14ac:dyDescent="0.3">
      <c r="A17" s="7" t="s">
        <v>6</v>
      </c>
      <c r="B17" s="95" t="s">
        <v>8</v>
      </c>
      <c r="C17" s="3" t="s">
        <v>9</v>
      </c>
      <c r="D17" s="4">
        <v>32643</v>
      </c>
      <c r="E17" s="30">
        <v>14402</v>
      </c>
      <c r="F17" s="39">
        <v>3179</v>
      </c>
      <c r="G17" s="15">
        <f t="shared" si="4"/>
        <v>321</v>
      </c>
      <c r="H17" s="71"/>
      <c r="I17" s="84">
        <f t="shared" si="1"/>
        <v>3179</v>
      </c>
      <c r="J17" s="99">
        <f t="shared" si="3"/>
        <v>3219</v>
      </c>
      <c r="K17" s="42">
        <f t="shared" si="2"/>
        <v>3264</v>
      </c>
    </row>
    <row r="18" spans="1:11" ht="19.8" customHeight="1" x14ac:dyDescent="0.3">
      <c r="A18" s="7" t="s">
        <v>6</v>
      </c>
      <c r="B18" s="95" t="s">
        <v>13</v>
      </c>
      <c r="C18" s="3" t="s">
        <v>32</v>
      </c>
      <c r="D18" s="4">
        <v>32367</v>
      </c>
      <c r="E18" s="30">
        <v>19974</v>
      </c>
      <c r="F18" s="38">
        <v>3203</v>
      </c>
      <c r="G18" s="15">
        <f t="shared" si="4"/>
        <v>297</v>
      </c>
      <c r="H18" s="71"/>
      <c r="I18" s="84">
        <f t="shared" si="1"/>
        <v>3203</v>
      </c>
      <c r="J18" s="99">
        <f t="shared" si="3"/>
        <v>3243</v>
      </c>
      <c r="K18" s="42">
        <f t="shared" si="2"/>
        <v>3288</v>
      </c>
    </row>
    <row r="19" spans="1:11" ht="19.8" customHeight="1" x14ac:dyDescent="0.3">
      <c r="A19" s="7" t="s">
        <v>6</v>
      </c>
      <c r="B19" s="95" t="s">
        <v>131</v>
      </c>
      <c r="C19" s="8" t="s">
        <v>11</v>
      </c>
      <c r="D19" s="12">
        <v>30228</v>
      </c>
      <c r="E19" s="31">
        <v>12880</v>
      </c>
      <c r="F19" s="40">
        <v>3094</v>
      </c>
      <c r="G19" s="15">
        <f>3500-F19</f>
        <v>406</v>
      </c>
      <c r="H19" s="68"/>
      <c r="I19" s="84">
        <f t="shared" si="1"/>
        <v>3094</v>
      </c>
      <c r="J19" s="99">
        <f t="shared" si="3"/>
        <v>3134</v>
      </c>
      <c r="K19" s="42">
        <f t="shared" si="2"/>
        <v>3179</v>
      </c>
    </row>
    <row r="20" spans="1:11" ht="19.8" customHeight="1" x14ac:dyDescent="0.3">
      <c r="A20" s="6" t="s">
        <v>6</v>
      </c>
      <c r="B20" s="5" t="s">
        <v>61</v>
      </c>
      <c r="C20" s="3" t="s">
        <v>226</v>
      </c>
      <c r="D20" s="4">
        <v>32064</v>
      </c>
      <c r="E20" s="30">
        <v>17476</v>
      </c>
      <c r="F20" s="38">
        <v>2953</v>
      </c>
      <c r="G20" s="15">
        <f t="shared" ref="G20:G37" si="5">3000-F20</f>
        <v>47</v>
      </c>
      <c r="H20" s="68"/>
      <c r="I20" s="84">
        <f t="shared" si="1"/>
        <v>2953</v>
      </c>
      <c r="J20" s="99">
        <f t="shared" si="3"/>
        <v>2993</v>
      </c>
      <c r="K20" s="42">
        <f t="shared" si="2"/>
        <v>3038</v>
      </c>
    </row>
    <row r="21" spans="1:11" ht="19.8" customHeight="1" x14ac:dyDescent="0.3">
      <c r="A21" s="7" t="s">
        <v>6</v>
      </c>
      <c r="B21" s="95" t="s">
        <v>45</v>
      </c>
      <c r="C21" s="3" t="s">
        <v>11</v>
      </c>
      <c r="D21" s="4">
        <v>32128</v>
      </c>
      <c r="E21" s="30">
        <v>17005</v>
      </c>
      <c r="F21" s="39">
        <v>2927</v>
      </c>
      <c r="G21" s="15">
        <f t="shared" si="5"/>
        <v>73</v>
      </c>
      <c r="H21" s="68"/>
      <c r="I21" s="84">
        <f t="shared" si="1"/>
        <v>2927</v>
      </c>
      <c r="J21" s="99">
        <f t="shared" si="3"/>
        <v>2967</v>
      </c>
      <c r="K21" s="42">
        <f t="shared" si="2"/>
        <v>3012</v>
      </c>
    </row>
    <row r="22" spans="1:11" ht="19.8" customHeight="1" x14ac:dyDescent="0.3">
      <c r="A22" s="7" t="s">
        <v>6</v>
      </c>
      <c r="B22" s="95" t="s">
        <v>14</v>
      </c>
      <c r="C22" s="3" t="s">
        <v>27</v>
      </c>
      <c r="D22" s="4">
        <v>32730</v>
      </c>
      <c r="E22" s="30">
        <v>14980</v>
      </c>
      <c r="F22" s="38">
        <v>2927</v>
      </c>
      <c r="G22" s="15">
        <f t="shared" si="5"/>
        <v>73</v>
      </c>
      <c r="H22" s="68"/>
      <c r="I22" s="84">
        <f t="shared" si="1"/>
        <v>2927</v>
      </c>
      <c r="J22" s="99">
        <f t="shared" si="3"/>
        <v>2967</v>
      </c>
      <c r="K22" s="42">
        <f t="shared" si="2"/>
        <v>3012</v>
      </c>
    </row>
    <row r="23" spans="1:11" ht="19.8" customHeight="1" x14ac:dyDescent="0.3">
      <c r="A23" s="7" t="s">
        <v>6</v>
      </c>
      <c r="B23" s="95" t="s">
        <v>25</v>
      </c>
      <c r="C23" s="3" t="s">
        <v>130</v>
      </c>
      <c r="D23" s="4">
        <v>32367</v>
      </c>
      <c r="E23" s="30">
        <v>19500</v>
      </c>
      <c r="F23" s="38">
        <v>2931</v>
      </c>
      <c r="G23" s="15">
        <f t="shared" si="5"/>
        <v>69</v>
      </c>
      <c r="H23" s="74" t="s">
        <v>259</v>
      </c>
      <c r="I23" s="84">
        <f t="shared" si="1"/>
        <v>2931</v>
      </c>
      <c r="J23" s="99">
        <f t="shared" si="3"/>
        <v>2971</v>
      </c>
      <c r="K23" s="42">
        <f t="shared" si="2"/>
        <v>3016</v>
      </c>
    </row>
    <row r="24" spans="1:11" ht="19.8" customHeight="1" x14ac:dyDescent="0.3">
      <c r="A24" s="7" t="s">
        <v>6</v>
      </c>
      <c r="B24" s="95" t="s">
        <v>18</v>
      </c>
      <c r="C24" s="8" t="s">
        <v>232</v>
      </c>
      <c r="D24" s="12">
        <v>31121</v>
      </c>
      <c r="E24" s="31">
        <v>22679</v>
      </c>
      <c r="F24" s="38">
        <v>2839</v>
      </c>
      <c r="G24" s="15">
        <f t="shared" si="5"/>
        <v>161</v>
      </c>
      <c r="H24" s="71"/>
      <c r="I24" s="84">
        <f t="shared" si="1"/>
        <v>2839</v>
      </c>
      <c r="J24" s="99">
        <f t="shared" si="3"/>
        <v>2879</v>
      </c>
      <c r="K24" s="42">
        <f t="shared" si="2"/>
        <v>2924</v>
      </c>
    </row>
    <row r="25" spans="1:11" ht="19.8" customHeight="1" x14ac:dyDescent="0.3">
      <c r="A25" s="7" t="s">
        <v>6</v>
      </c>
      <c r="B25" s="5" t="s">
        <v>200</v>
      </c>
      <c r="C25" s="3" t="s">
        <v>234</v>
      </c>
      <c r="D25" s="4">
        <v>32215</v>
      </c>
      <c r="E25" s="30">
        <v>18852</v>
      </c>
      <c r="F25" s="38">
        <v>2813</v>
      </c>
      <c r="G25" s="15">
        <f t="shared" si="5"/>
        <v>187</v>
      </c>
      <c r="H25" s="68"/>
      <c r="I25" s="84">
        <f t="shared" si="1"/>
        <v>2813</v>
      </c>
      <c r="J25" s="99">
        <f t="shared" si="3"/>
        <v>2853</v>
      </c>
      <c r="K25" s="42">
        <f t="shared" si="2"/>
        <v>2898</v>
      </c>
    </row>
    <row r="26" spans="1:11" ht="19.8" customHeight="1" x14ac:dyDescent="0.3">
      <c r="A26" s="7" t="s">
        <v>6</v>
      </c>
      <c r="B26" s="95" t="s">
        <v>132</v>
      </c>
      <c r="C26" s="3" t="s">
        <v>34</v>
      </c>
      <c r="D26" s="4">
        <v>32213</v>
      </c>
      <c r="E26" s="30">
        <v>11480</v>
      </c>
      <c r="F26" s="39">
        <v>2733</v>
      </c>
      <c r="G26" s="15">
        <f t="shared" si="5"/>
        <v>267</v>
      </c>
      <c r="H26" s="68"/>
      <c r="I26" s="84">
        <f t="shared" si="1"/>
        <v>2733</v>
      </c>
      <c r="J26" s="99">
        <f t="shared" si="3"/>
        <v>2773</v>
      </c>
      <c r="K26" s="42">
        <f t="shared" si="2"/>
        <v>2818</v>
      </c>
    </row>
    <row r="27" spans="1:11" ht="19.8" customHeight="1" x14ac:dyDescent="0.3">
      <c r="A27" s="7" t="s">
        <v>6</v>
      </c>
      <c r="B27" s="5" t="s">
        <v>201</v>
      </c>
      <c r="C27" s="3" t="s">
        <v>27</v>
      </c>
      <c r="D27" s="4">
        <v>32215</v>
      </c>
      <c r="E27" s="30">
        <v>20117</v>
      </c>
      <c r="F27" s="38">
        <v>2715</v>
      </c>
      <c r="G27" s="15">
        <f t="shared" si="5"/>
        <v>285</v>
      </c>
      <c r="H27" s="68"/>
      <c r="I27" s="84">
        <f t="shared" si="1"/>
        <v>2715</v>
      </c>
      <c r="J27" s="99">
        <f t="shared" si="3"/>
        <v>2755</v>
      </c>
      <c r="K27" s="42">
        <f t="shared" si="2"/>
        <v>2800</v>
      </c>
    </row>
    <row r="28" spans="1:11" ht="19.8" customHeight="1" x14ac:dyDescent="0.3">
      <c r="A28" s="7" t="s">
        <v>6</v>
      </c>
      <c r="B28" s="95" t="s">
        <v>10</v>
      </c>
      <c r="C28" s="3" t="s">
        <v>233</v>
      </c>
      <c r="D28" s="4">
        <v>32552</v>
      </c>
      <c r="E28" s="30">
        <v>15040</v>
      </c>
      <c r="F28" s="39">
        <v>2610</v>
      </c>
      <c r="G28" s="15">
        <f t="shared" si="5"/>
        <v>390</v>
      </c>
      <c r="H28" s="71"/>
      <c r="I28" s="84">
        <f t="shared" si="1"/>
        <v>2610</v>
      </c>
      <c r="J28" s="99">
        <f t="shared" si="3"/>
        <v>2650</v>
      </c>
      <c r="K28" s="42">
        <f t="shared" ref="K28:K47" si="6">J28+45</f>
        <v>2695</v>
      </c>
    </row>
    <row r="29" spans="1:11" ht="19.8" customHeight="1" x14ac:dyDescent="0.3">
      <c r="A29" s="7" t="s">
        <v>6</v>
      </c>
      <c r="B29" s="5" t="s">
        <v>202</v>
      </c>
      <c r="C29" s="3" t="s">
        <v>46</v>
      </c>
      <c r="D29" s="4">
        <v>32215</v>
      </c>
      <c r="E29" s="30">
        <v>17950</v>
      </c>
      <c r="F29" s="38">
        <v>2509</v>
      </c>
      <c r="G29" s="15">
        <f t="shared" si="5"/>
        <v>491</v>
      </c>
      <c r="H29" s="68"/>
      <c r="I29" s="84">
        <f t="shared" si="1"/>
        <v>2509</v>
      </c>
      <c r="J29" s="99">
        <f t="shared" si="3"/>
        <v>2549</v>
      </c>
      <c r="K29" s="42">
        <f t="shared" si="6"/>
        <v>2594</v>
      </c>
    </row>
    <row r="30" spans="1:11" ht="19.8" customHeight="1" x14ac:dyDescent="0.3">
      <c r="A30" s="7" t="s">
        <v>6</v>
      </c>
      <c r="B30" s="95" t="s">
        <v>138</v>
      </c>
      <c r="C30" s="8" t="s">
        <v>130</v>
      </c>
      <c r="D30" s="12">
        <v>33910</v>
      </c>
      <c r="E30" s="31">
        <v>12357</v>
      </c>
      <c r="F30" s="40">
        <v>2502</v>
      </c>
      <c r="G30" s="15">
        <f t="shared" si="5"/>
        <v>498</v>
      </c>
      <c r="H30" s="72"/>
      <c r="I30" s="84">
        <f t="shared" si="1"/>
        <v>2502</v>
      </c>
      <c r="J30" s="99">
        <f t="shared" si="3"/>
        <v>2542</v>
      </c>
      <c r="K30" s="42">
        <f t="shared" si="6"/>
        <v>2587</v>
      </c>
    </row>
    <row r="31" spans="1:11" ht="19.8" customHeight="1" x14ac:dyDescent="0.3">
      <c r="A31" s="7" t="s">
        <v>6</v>
      </c>
      <c r="B31" s="95" t="s">
        <v>22</v>
      </c>
      <c r="C31" s="3" t="s">
        <v>235</v>
      </c>
      <c r="D31" s="4">
        <v>31300</v>
      </c>
      <c r="E31" s="30">
        <v>21802</v>
      </c>
      <c r="F31" s="38">
        <v>2340</v>
      </c>
      <c r="G31" s="15">
        <f t="shared" si="5"/>
        <v>660</v>
      </c>
      <c r="H31" s="67"/>
      <c r="I31" s="84">
        <f t="shared" si="1"/>
        <v>2340</v>
      </c>
      <c r="J31" s="99">
        <f t="shared" si="3"/>
        <v>2380</v>
      </c>
      <c r="K31" s="42">
        <f t="shared" si="6"/>
        <v>2425</v>
      </c>
    </row>
    <row r="32" spans="1:11" ht="19.8" customHeight="1" x14ac:dyDescent="0.3">
      <c r="A32" s="7" t="s">
        <v>6</v>
      </c>
      <c r="B32" s="95" t="s">
        <v>28</v>
      </c>
      <c r="C32" s="3" t="s">
        <v>237</v>
      </c>
      <c r="D32" s="4">
        <v>31937</v>
      </c>
      <c r="E32" s="30">
        <v>22300</v>
      </c>
      <c r="F32" s="38">
        <v>2220</v>
      </c>
      <c r="G32" s="15">
        <f t="shared" si="5"/>
        <v>780</v>
      </c>
      <c r="H32" s="67"/>
      <c r="I32" s="84">
        <f t="shared" si="1"/>
        <v>2220</v>
      </c>
      <c r="J32" s="99">
        <f t="shared" si="3"/>
        <v>2260</v>
      </c>
      <c r="K32" s="42">
        <f t="shared" si="6"/>
        <v>2305</v>
      </c>
    </row>
    <row r="33" spans="1:11" ht="19.8" customHeight="1" x14ac:dyDescent="0.3">
      <c r="A33" s="7" t="s">
        <v>6</v>
      </c>
      <c r="B33" s="5" t="s">
        <v>33</v>
      </c>
      <c r="C33" s="3" t="s">
        <v>27</v>
      </c>
      <c r="D33" s="4">
        <v>31876</v>
      </c>
      <c r="E33" s="30">
        <v>18831</v>
      </c>
      <c r="F33" s="38">
        <v>2226</v>
      </c>
      <c r="G33" s="15">
        <f t="shared" si="5"/>
        <v>774</v>
      </c>
      <c r="H33" s="68"/>
      <c r="I33" s="84">
        <f t="shared" si="1"/>
        <v>2226</v>
      </c>
      <c r="J33" s="99">
        <f t="shared" si="3"/>
        <v>2266</v>
      </c>
      <c r="K33" s="42">
        <f t="shared" si="6"/>
        <v>2311</v>
      </c>
    </row>
    <row r="34" spans="1:11" ht="19.8" customHeight="1" x14ac:dyDescent="0.3">
      <c r="A34" s="7" t="s">
        <v>6</v>
      </c>
      <c r="B34" s="5" t="s">
        <v>37</v>
      </c>
      <c r="C34" s="3" t="s">
        <v>11</v>
      </c>
      <c r="D34" s="4">
        <v>32794</v>
      </c>
      <c r="E34" s="30">
        <v>17324</v>
      </c>
      <c r="F34" s="38">
        <v>2238</v>
      </c>
      <c r="G34" s="15">
        <f t="shared" si="5"/>
        <v>762</v>
      </c>
      <c r="H34" s="68"/>
      <c r="I34" s="84">
        <f t="shared" si="1"/>
        <v>2238</v>
      </c>
      <c r="J34" s="99">
        <f t="shared" si="3"/>
        <v>2278</v>
      </c>
      <c r="K34" s="42">
        <f t="shared" si="6"/>
        <v>2323</v>
      </c>
    </row>
    <row r="35" spans="1:11" ht="19.8" customHeight="1" x14ac:dyDescent="0.3">
      <c r="A35" s="7" t="s">
        <v>6</v>
      </c>
      <c r="B35" s="95" t="s">
        <v>21</v>
      </c>
      <c r="C35" s="3" t="s">
        <v>236</v>
      </c>
      <c r="D35" s="4">
        <v>30901</v>
      </c>
      <c r="E35" s="30">
        <v>20081</v>
      </c>
      <c r="F35" s="38">
        <v>2075</v>
      </c>
      <c r="G35" s="15">
        <f t="shared" si="5"/>
        <v>925</v>
      </c>
      <c r="H35" s="74" t="s">
        <v>260</v>
      </c>
      <c r="I35" s="84">
        <f t="shared" si="1"/>
        <v>2075</v>
      </c>
      <c r="J35" s="99">
        <f t="shared" si="3"/>
        <v>2115</v>
      </c>
      <c r="K35" s="42">
        <f t="shared" si="6"/>
        <v>2160</v>
      </c>
    </row>
    <row r="36" spans="1:11" ht="19.8" customHeight="1" x14ac:dyDescent="0.3">
      <c r="A36" s="7" t="s">
        <v>6</v>
      </c>
      <c r="B36" s="95" t="s">
        <v>133</v>
      </c>
      <c r="C36" s="3" t="s">
        <v>46</v>
      </c>
      <c r="D36" s="12">
        <v>30134</v>
      </c>
      <c r="E36" s="31">
        <v>21246</v>
      </c>
      <c r="F36" s="38">
        <v>2060</v>
      </c>
      <c r="G36" s="15">
        <f t="shared" si="5"/>
        <v>940</v>
      </c>
      <c r="H36" s="71"/>
      <c r="I36" s="84">
        <f t="shared" si="1"/>
        <v>2060</v>
      </c>
      <c r="J36" s="99">
        <f t="shared" si="3"/>
        <v>2100</v>
      </c>
      <c r="K36" s="42">
        <f t="shared" si="6"/>
        <v>2145</v>
      </c>
    </row>
    <row r="37" spans="1:11" ht="19.8" customHeight="1" x14ac:dyDescent="0.3">
      <c r="A37" s="7" t="s">
        <v>6</v>
      </c>
      <c r="B37" s="5" t="s">
        <v>16</v>
      </c>
      <c r="C37" s="3" t="s">
        <v>38</v>
      </c>
      <c r="D37" s="4">
        <v>32580</v>
      </c>
      <c r="E37" s="30">
        <v>18970</v>
      </c>
      <c r="F37" s="38">
        <v>2095</v>
      </c>
      <c r="G37" s="15">
        <f t="shared" si="5"/>
        <v>905</v>
      </c>
      <c r="H37" s="68"/>
      <c r="I37" s="84">
        <f t="shared" si="1"/>
        <v>2095</v>
      </c>
      <c r="J37" s="99">
        <f t="shared" si="3"/>
        <v>2135</v>
      </c>
      <c r="K37" s="42">
        <f t="shared" si="6"/>
        <v>2180</v>
      </c>
    </row>
    <row r="38" spans="1:11" ht="19.8" customHeight="1" x14ac:dyDescent="0.3">
      <c r="A38" s="7" t="s">
        <v>6</v>
      </c>
      <c r="B38" s="95" t="s">
        <v>39</v>
      </c>
      <c r="C38" s="8" t="s">
        <v>38</v>
      </c>
      <c r="D38" s="12">
        <v>31146</v>
      </c>
      <c r="E38" s="31">
        <v>21204</v>
      </c>
      <c r="F38" s="38">
        <v>2029</v>
      </c>
      <c r="G38" s="37">
        <f>3000-F38</f>
        <v>971</v>
      </c>
      <c r="H38" s="68"/>
      <c r="I38" s="84">
        <f t="shared" si="1"/>
        <v>2029</v>
      </c>
      <c r="J38" s="99">
        <f t="shared" si="3"/>
        <v>2069</v>
      </c>
      <c r="K38" s="42">
        <f t="shared" si="6"/>
        <v>2114</v>
      </c>
    </row>
    <row r="39" spans="1:11" ht="19.8" customHeight="1" x14ac:dyDescent="0.3">
      <c r="A39" s="7" t="s">
        <v>6</v>
      </c>
      <c r="B39" s="5" t="s">
        <v>31</v>
      </c>
      <c r="C39" s="3" t="s">
        <v>27</v>
      </c>
      <c r="D39" s="4">
        <v>29847</v>
      </c>
      <c r="E39" s="30">
        <v>28994</v>
      </c>
      <c r="F39" s="38">
        <v>1997</v>
      </c>
      <c r="G39" s="15">
        <f t="shared" ref="G39:G58" si="7">2000-F39</f>
        <v>3</v>
      </c>
      <c r="H39" s="68"/>
      <c r="I39" s="84">
        <f t="shared" si="1"/>
        <v>1997</v>
      </c>
      <c r="J39" s="99">
        <f t="shared" si="3"/>
        <v>2037</v>
      </c>
      <c r="K39" s="42">
        <f t="shared" si="6"/>
        <v>2082</v>
      </c>
    </row>
    <row r="40" spans="1:11" ht="19.8" customHeight="1" x14ac:dyDescent="0.3">
      <c r="A40" s="7" t="s">
        <v>6</v>
      </c>
      <c r="B40" s="95" t="s">
        <v>137</v>
      </c>
      <c r="C40" s="3" t="s">
        <v>38</v>
      </c>
      <c r="D40" s="4">
        <v>31937</v>
      </c>
      <c r="E40" s="30">
        <v>21285</v>
      </c>
      <c r="F40" s="38">
        <v>1967</v>
      </c>
      <c r="G40" s="37">
        <f t="shared" si="7"/>
        <v>33</v>
      </c>
      <c r="H40" s="68"/>
      <c r="I40" s="84">
        <f t="shared" ref="I40:I70" si="8">F40+0</f>
        <v>1967</v>
      </c>
      <c r="J40" s="99">
        <f t="shared" si="3"/>
        <v>2007</v>
      </c>
      <c r="K40" s="42">
        <f t="shared" si="6"/>
        <v>2052</v>
      </c>
    </row>
    <row r="41" spans="1:11" ht="19.8" customHeight="1" x14ac:dyDescent="0.3">
      <c r="A41" s="7" t="s">
        <v>6</v>
      </c>
      <c r="B41" s="95" t="s">
        <v>29</v>
      </c>
      <c r="C41" s="3" t="s">
        <v>11</v>
      </c>
      <c r="D41" s="4">
        <v>32489</v>
      </c>
      <c r="E41" s="30">
        <v>17258</v>
      </c>
      <c r="F41" s="38">
        <v>1896</v>
      </c>
      <c r="G41" s="37">
        <f t="shared" si="7"/>
        <v>104</v>
      </c>
      <c r="H41" s="68"/>
      <c r="I41" s="84">
        <f t="shared" si="8"/>
        <v>1896</v>
      </c>
      <c r="J41" s="99">
        <f t="shared" si="3"/>
        <v>1936</v>
      </c>
      <c r="K41" s="42">
        <f t="shared" si="6"/>
        <v>1981</v>
      </c>
    </row>
    <row r="42" spans="1:11" ht="19.8" customHeight="1" x14ac:dyDescent="0.3">
      <c r="A42" s="7" t="s">
        <v>6</v>
      </c>
      <c r="B42" s="95" t="s">
        <v>24</v>
      </c>
      <c r="C42" s="3" t="s">
        <v>27</v>
      </c>
      <c r="D42" s="4">
        <v>30862</v>
      </c>
      <c r="E42" s="30">
        <v>25657</v>
      </c>
      <c r="F42" s="38">
        <v>1808</v>
      </c>
      <c r="G42" s="15">
        <f t="shared" si="7"/>
        <v>192</v>
      </c>
      <c r="H42" s="73"/>
      <c r="I42" s="84">
        <f t="shared" si="8"/>
        <v>1808</v>
      </c>
      <c r="J42" s="99">
        <f t="shared" si="3"/>
        <v>1848</v>
      </c>
      <c r="K42" s="42">
        <f t="shared" si="6"/>
        <v>1893</v>
      </c>
    </row>
    <row r="43" spans="1:11" ht="19.8" customHeight="1" x14ac:dyDescent="0.3">
      <c r="A43" s="7" t="s">
        <v>6</v>
      </c>
      <c r="B43" s="95" t="s">
        <v>35</v>
      </c>
      <c r="C43" s="8" t="s">
        <v>11</v>
      </c>
      <c r="D43" s="12">
        <v>32274</v>
      </c>
      <c r="E43" s="31">
        <v>23118</v>
      </c>
      <c r="F43" s="38">
        <v>1839</v>
      </c>
      <c r="G43" s="37">
        <f t="shared" si="7"/>
        <v>161</v>
      </c>
      <c r="H43" s="67"/>
      <c r="I43" s="84">
        <f t="shared" si="8"/>
        <v>1839</v>
      </c>
      <c r="J43" s="99">
        <f t="shared" si="3"/>
        <v>1879</v>
      </c>
      <c r="K43" s="42">
        <f t="shared" si="6"/>
        <v>1924</v>
      </c>
    </row>
    <row r="44" spans="1:11" ht="19.8" customHeight="1" x14ac:dyDescent="0.3">
      <c r="A44" s="7" t="s">
        <v>6</v>
      </c>
      <c r="B44" s="95" t="s">
        <v>42</v>
      </c>
      <c r="C44" s="8" t="s">
        <v>199</v>
      </c>
      <c r="D44" s="12">
        <v>29525</v>
      </c>
      <c r="E44" s="31">
        <v>27202</v>
      </c>
      <c r="F44" s="38">
        <v>1715</v>
      </c>
      <c r="G44" s="37">
        <f t="shared" si="7"/>
        <v>285</v>
      </c>
      <c r="H44" s="67"/>
      <c r="I44" s="84">
        <f t="shared" si="8"/>
        <v>1715</v>
      </c>
      <c r="J44" s="99">
        <f t="shared" si="3"/>
        <v>1755</v>
      </c>
      <c r="K44" s="42">
        <f t="shared" si="6"/>
        <v>1800</v>
      </c>
    </row>
    <row r="45" spans="1:11" ht="19.8" customHeight="1" x14ac:dyDescent="0.3">
      <c r="A45" s="7" t="s">
        <v>6</v>
      </c>
      <c r="B45" s="95" t="s">
        <v>26</v>
      </c>
      <c r="C45" s="3" t="s">
        <v>238</v>
      </c>
      <c r="D45" s="4">
        <v>33033</v>
      </c>
      <c r="E45" s="30">
        <v>14801</v>
      </c>
      <c r="F45" s="38">
        <v>1435</v>
      </c>
      <c r="G45" s="37">
        <f t="shared" si="7"/>
        <v>565</v>
      </c>
      <c r="H45" s="67"/>
      <c r="I45" s="84">
        <f t="shared" si="8"/>
        <v>1435</v>
      </c>
      <c r="J45" s="99">
        <f t="shared" si="3"/>
        <v>1475</v>
      </c>
      <c r="K45" s="42">
        <f t="shared" si="6"/>
        <v>1520</v>
      </c>
    </row>
    <row r="46" spans="1:11" ht="19.8" customHeight="1" x14ac:dyDescent="0.3">
      <c r="A46" s="7" t="s">
        <v>6</v>
      </c>
      <c r="B46" s="95" t="s">
        <v>195</v>
      </c>
      <c r="C46" s="3" t="s">
        <v>240</v>
      </c>
      <c r="D46" s="4">
        <v>31504</v>
      </c>
      <c r="E46" s="30">
        <v>22508</v>
      </c>
      <c r="F46" s="38">
        <v>1194</v>
      </c>
      <c r="G46" s="37">
        <f t="shared" si="7"/>
        <v>806</v>
      </c>
      <c r="H46" s="68"/>
      <c r="I46" s="84">
        <f t="shared" si="8"/>
        <v>1194</v>
      </c>
      <c r="J46" s="99">
        <f t="shared" si="3"/>
        <v>1234</v>
      </c>
      <c r="K46" s="42">
        <f t="shared" si="6"/>
        <v>1279</v>
      </c>
    </row>
    <row r="47" spans="1:11" ht="19.8" customHeight="1" x14ac:dyDescent="0.3">
      <c r="A47" s="7" t="s">
        <v>6</v>
      </c>
      <c r="B47" s="95" t="s">
        <v>198</v>
      </c>
      <c r="C47" s="3" t="s">
        <v>34</v>
      </c>
      <c r="D47" s="4">
        <v>31504</v>
      </c>
      <c r="E47" s="30">
        <v>16203</v>
      </c>
      <c r="F47" s="38">
        <v>1202</v>
      </c>
      <c r="G47" s="37">
        <f t="shared" si="7"/>
        <v>798</v>
      </c>
      <c r="H47" s="68"/>
      <c r="I47" s="84">
        <f t="shared" si="8"/>
        <v>1202</v>
      </c>
      <c r="J47" s="99">
        <f t="shared" si="3"/>
        <v>1242</v>
      </c>
      <c r="K47" s="42">
        <f t="shared" si="6"/>
        <v>1287</v>
      </c>
    </row>
    <row r="48" spans="1:11" ht="19.8" customHeight="1" x14ac:dyDescent="0.3">
      <c r="A48" s="7" t="s">
        <v>6</v>
      </c>
      <c r="B48" s="5" t="s">
        <v>192</v>
      </c>
      <c r="C48" s="8" t="s">
        <v>188</v>
      </c>
      <c r="D48" s="4">
        <v>31260</v>
      </c>
      <c r="E48" s="30">
        <v>20854</v>
      </c>
      <c r="F48" s="38">
        <v>1173</v>
      </c>
      <c r="G48" s="37">
        <f t="shared" si="7"/>
        <v>827</v>
      </c>
      <c r="H48" s="68"/>
      <c r="I48" s="84">
        <f t="shared" si="8"/>
        <v>1173</v>
      </c>
      <c r="J48" s="99">
        <f t="shared" si="3"/>
        <v>1213</v>
      </c>
      <c r="K48" s="42">
        <f t="shared" ref="K48:K67" si="9">J48+45</f>
        <v>1258</v>
      </c>
    </row>
    <row r="49" spans="1:11" ht="19.8" customHeight="1" x14ac:dyDescent="0.3">
      <c r="A49" s="7" t="s">
        <v>6</v>
      </c>
      <c r="B49" s="95" t="s">
        <v>47</v>
      </c>
      <c r="C49" s="8" t="s">
        <v>239</v>
      </c>
      <c r="D49" s="12">
        <v>32367</v>
      </c>
      <c r="E49" s="31">
        <v>16689</v>
      </c>
      <c r="F49" s="38">
        <v>1148</v>
      </c>
      <c r="G49" s="37">
        <f t="shared" si="7"/>
        <v>852</v>
      </c>
      <c r="H49" s="68"/>
      <c r="I49" s="84">
        <f t="shared" si="8"/>
        <v>1148</v>
      </c>
      <c r="J49" s="99">
        <f t="shared" si="3"/>
        <v>1188</v>
      </c>
      <c r="K49" s="42">
        <f t="shared" si="9"/>
        <v>1233</v>
      </c>
    </row>
    <row r="50" spans="1:11" ht="19.8" customHeight="1" x14ac:dyDescent="0.3">
      <c r="A50" s="7" t="s">
        <v>6</v>
      </c>
      <c r="B50" s="95" t="s">
        <v>203</v>
      </c>
      <c r="C50" s="3" t="s">
        <v>234</v>
      </c>
      <c r="D50" s="12">
        <v>32304</v>
      </c>
      <c r="E50" s="31">
        <v>16931</v>
      </c>
      <c r="F50" s="38">
        <v>1187</v>
      </c>
      <c r="G50" s="37">
        <f t="shared" si="7"/>
        <v>813</v>
      </c>
      <c r="H50" s="68"/>
      <c r="I50" s="84">
        <f t="shared" si="8"/>
        <v>1187</v>
      </c>
      <c r="J50" s="99">
        <f t="shared" si="3"/>
        <v>1227</v>
      </c>
      <c r="K50" s="42">
        <f t="shared" si="9"/>
        <v>1272</v>
      </c>
    </row>
    <row r="51" spans="1:11" ht="19.8" customHeight="1" x14ac:dyDescent="0.3">
      <c r="A51" s="7" t="s">
        <v>6</v>
      </c>
      <c r="B51" s="95" t="s">
        <v>222</v>
      </c>
      <c r="C51" s="3" t="s">
        <v>50</v>
      </c>
      <c r="D51" s="4">
        <v>32245</v>
      </c>
      <c r="E51" s="30">
        <v>13885</v>
      </c>
      <c r="F51" s="38">
        <v>1003</v>
      </c>
      <c r="G51" s="37">
        <f t="shared" si="7"/>
        <v>997</v>
      </c>
      <c r="H51" s="68"/>
      <c r="I51" s="84">
        <f t="shared" si="8"/>
        <v>1003</v>
      </c>
      <c r="J51" s="99">
        <f t="shared" si="3"/>
        <v>1043</v>
      </c>
      <c r="K51" s="42">
        <f t="shared" si="9"/>
        <v>1088</v>
      </c>
    </row>
    <row r="52" spans="1:11" ht="19.8" customHeight="1" x14ac:dyDescent="0.3">
      <c r="A52" s="7" t="s">
        <v>6</v>
      </c>
      <c r="B52" s="5" t="s">
        <v>193</v>
      </c>
      <c r="C52" s="3" t="s">
        <v>237</v>
      </c>
      <c r="D52" s="4">
        <v>30895</v>
      </c>
      <c r="E52" s="30">
        <v>22863</v>
      </c>
      <c r="F52" s="38">
        <v>973</v>
      </c>
      <c r="G52" s="37">
        <f t="shared" si="7"/>
        <v>1027</v>
      </c>
      <c r="H52" s="68"/>
      <c r="I52" s="84">
        <f t="shared" si="8"/>
        <v>973</v>
      </c>
      <c r="J52" s="99">
        <f t="shared" si="3"/>
        <v>1013</v>
      </c>
      <c r="K52" s="42">
        <f t="shared" si="9"/>
        <v>1058</v>
      </c>
    </row>
    <row r="53" spans="1:11" ht="19.8" customHeight="1" x14ac:dyDescent="0.3">
      <c r="A53" s="7" t="s">
        <v>6</v>
      </c>
      <c r="B53" s="95" t="s">
        <v>197</v>
      </c>
      <c r="C53" s="8" t="s">
        <v>50</v>
      </c>
      <c r="D53" s="4">
        <v>31260</v>
      </c>
      <c r="E53" s="30">
        <v>6578</v>
      </c>
      <c r="F53" s="38">
        <v>877</v>
      </c>
      <c r="G53" s="37">
        <f t="shared" si="7"/>
        <v>1123</v>
      </c>
      <c r="H53" s="67"/>
      <c r="I53" s="84">
        <f t="shared" si="8"/>
        <v>877</v>
      </c>
      <c r="J53" s="99">
        <f t="shared" si="3"/>
        <v>917</v>
      </c>
      <c r="K53" s="42">
        <f t="shared" si="9"/>
        <v>962</v>
      </c>
    </row>
    <row r="54" spans="1:11" ht="19.8" customHeight="1" x14ac:dyDescent="0.3">
      <c r="A54" s="7" t="s">
        <v>6</v>
      </c>
      <c r="B54" s="95" t="s">
        <v>41</v>
      </c>
      <c r="C54" s="8" t="s">
        <v>230</v>
      </c>
      <c r="D54" s="12">
        <v>31597</v>
      </c>
      <c r="E54" s="31">
        <v>20150</v>
      </c>
      <c r="F54" s="38">
        <v>927</v>
      </c>
      <c r="G54" s="37">
        <f t="shared" si="7"/>
        <v>1073</v>
      </c>
      <c r="H54" s="68"/>
      <c r="I54" s="84">
        <f t="shared" si="8"/>
        <v>927</v>
      </c>
      <c r="J54" s="99">
        <f t="shared" si="3"/>
        <v>967</v>
      </c>
      <c r="K54" s="42">
        <f t="shared" si="9"/>
        <v>1012</v>
      </c>
    </row>
    <row r="55" spans="1:11" ht="19.8" customHeight="1" x14ac:dyDescent="0.3">
      <c r="A55" s="7" t="s">
        <v>6</v>
      </c>
      <c r="B55" s="95" t="s">
        <v>190</v>
      </c>
      <c r="C55" s="3" t="s">
        <v>46</v>
      </c>
      <c r="D55" s="4">
        <v>33234</v>
      </c>
      <c r="E55" s="30">
        <v>16318</v>
      </c>
      <c r="F55" s="38">
        <v>896</v>
      </c>
      <c r="G55" s="37">
        <f t="shared" si="7"/>
        <v>1104</v>
      </c>
      <c r="H55" s="68"/>
      <c r="I55" s="84">
        <f t="shared" si="8"/>
        <v>896</v>
      </c>
      <c r="J55" s="99">
        <f t="shared" si="3"/>
        <v>936</v>
      </c>
      <c r="K55" s="42">
        <f t="shared" si="9"/>
        <v>981</v>
      </c>
    </row>
    <row r="56" spans="1:11" ht="19.8" customHeight="1" x14ac:dyDescent="0.3">
      <c r="A56" s="7" t="s">
        <v>6</v>
      </c>
      <c r="B56" s="95" t="s">
        <v>49</v>
      </c>
      <c r="C56" s="8" t="s">
        <v>237</v>
      </c>
      <c r="D56" s="12">
        <v>32172</v>
      </c>
      <c r="E56" s="31">
        <v>17265</v>
      </c>
      <c r="F56" s="38">
        <v>862</v>
      </c>
      <c r="G56" s="37">
        <f t="shared" si="7"/>
        <v>1138</v>
      </c>
      <c r="H56" s="67"/>
      <c r="I56" s="84">
        <f t="shared" si="8"/>
        <v>862</v>
      </c>
      <c r="J56" s="99">
        <f t="shared" si="3"/>
        <v>902</v>
      </c>
      <c r="K56" s="42">
        <f t="shared" si="9"/>
        <v>947</v>
      </c>
    </row>
    <row r="57" spans="1:11" ht="19.8" customHeight="1" x14ac:dyDescent="0.3">
      <c r="A57" s="7" t="s">
        <v>17</v>
      </c>
      <c r="B57" s="95" t="s">
        <v>134</v>
      </c>
      <c r="C57" s="3" t="s">
        <v>27</v>
      </c>
      <c r="D57" s="4">
        <v>27684</v>
      </c>
      <c r="E57" s="30">
        <v>24496</v>
      </c>
      <c r="F57" s="38">
        <v>857</v>
      </c>
      <c r="G57" s="37">
        <f t="shared" si="7"/>
        <v>1143</v>
      </c>
      <c r="H57" s="68"/>
      <c r="I57" s="84">
        <f t="shared" si="8"/>
        <v>857</v>
      </c>
      <c r="J57" s="99">
        <f t="shared" si="3"/>
        <v>897</v>
      </c>
      <c r="K57" s="42">
        <f t="shared" si="9"/>
        <v>942</v>
      </c>
    </row>
    <row r="58" spans="1:11" ht="19.8" customHeight="1" x14ac:dyDescent="0.3">
      <c r="A58" s="7" t="s">
        <v>6</v>
      </c>
      <c r="B58" s="95" t="s">
        <v>189</v>
      </c>
      <c r="C58" s="3" t="s">
        <v>241</v>
      </c>
      <c r="D58" s="4">
        <v>32235</v>
      </c>
      <c r="E58" s="30">
        <v>16054</v>
      </c>
      <c r="F58" s="38">
        <v>830</v>
      </c>
      <c r="G58" s="37">
        <f t="shared" si="7"/>
        <v>1170</v>
      </c>
      <c r="H58" s="68"/>
      <c r="I58" s="84">
        <f t="shared" si="8"/>
        <v>830</v>
      </c>
      <c r="J58" s="99">
        <f t="shared" si="3"/>
        <v>870</v>
      </c>
      <c r="K58" s="42">
        <f t="shared" si="9"/>
        <v>915</v>
      </c>
    </row>
    <row r="59" spans="1:11" ht="19.8" customHeight="1" x14ac:dyDescent="0.3">
      <c r="A59" s="7" t="s">
        <v>6</v>
      </c>
      <c r="B59" s="5" t="s">
        <v>51</v>
      </c>
      <c r="C59" s="3" t="s">
        <v>9</v>
      </c>
      <c r="D59" s="4">
        <v>31973</v>
      </c>
      <c r="E59" s="30">
        <v>17926</v>
      </c>
      <c r="F59" s="38">
        <v>884</v>
      </c>
      <c r="G59" s="37">
        <f>4500-F59</f>
        <v>3616</v>
      </c>
      <c r="H59" s="68"/>
      <c r="I59" s="84">
        <f t="shared" si="8"/>
        <v>884</v>
      </c>
      <c r="J59" s="99">
        <f t="shared" si="3"/>
        <v>924</v>
      </c>
      <c r="K59" s="42">
        <f t="shared" si="9"/>
        <v>969</v>
      </c>
    </row>
    <row r="60" spans="1:11" ht="19.8" customHeight="1" x14ac:dyDescent="0.3">
      <c r="A60" s="7" t="s">
        <v>6</v>
      </c>
      <c r="B60" s="95" t="s">
        <v>204</v>
      </c>
      <c r="C60" s="3" t="s">
        <v>34</v>
      </c>
      <c r="D60" s="4">
        <v>30963</v>
      </c>
      <c r="E60" s="30">
        <v>24383</v>
      </c>
      <c r="F60" s="38">
        <v>678</v>
      </c>
      <c r="G60" s="37">
        <f t="shared" ref="G60:G68" si="10">2000-F60</f>
        <v>1322</v>
      </c>
      <c r="H60" s="68"/>
      <c r="I60" s="84">
        <f t="shared" si="8"/>
        <v>678</v>
      </c>
      <c r="J60" s="99">
        <f t="shared" si="3"/>
        <v>718</v>
      </c>
      <c r="K60" s="42">
        <f t="shared" si="9"/>
        <v>763</v>
      </c>
    </row>
    <row r="61" spans="1:11" ht="19.8" customHeight="1" x14ac:dyDescent="0.3">
      <c r="A61" s="7" t="s">
        <v>6</v>
      </c>
      <c r="B61" s="95" t="s">
        <v>30</v>
      </c>
      <c r="C61" s="8" t="s">
        <v>46</v>
      </c>
      <c r="D61" s="12">
        <v>31937</v>
      </c>
      <c r="E61" s="31">
        <v>19045</v>
      </c>
      <c r="F61" s="38">
        <v>619</v>
      </c>
      <c r="G61" s="37">
        <f t="shared" si="10"/>
        <v>1381</v>
      </c>
      <c r="H61" s="68"/>
      <c r="I61" s="84">
        <f t="shared" si="8"/>
        <v>619</v>
      </c>
      <c r="J61" s="99">
        <f t="shared" si="3"/>
        <v>659</v>
      </c>
      <c r="K61" s="42">
        <f t="shared" si="9"/>
        <v>704</v>
      </c>
    </row>
    <row r="62" spans="1:11" ht="19.8" customHeight="1" x14ac:dyDescent="0.3">
      <c r="A62" s="7" t="s">
        <v>6</v>
      </c>
      <c r="B62" s="95" t="s">
        <v>225</v>
      </c>
      <c r="C62" s="3" t="s">
        <v>235</v>
      </c>
      <c r="D62" s="4">
        <v>29525</v>
      </c>
      <c r="E62" s="30">
        <v>22957</v>
      </c>
      <c r="F62" s="38">
        <v>519</v>
      </c>
      <c r="G62" s="37">
        <f t="shared" si="10"/>
        <v>1481</v>
      </c>
      <c r="H62" s="68"/>
      <c r="I62" s="84">
        <f t="shared" si="8"/>
        <v>519</v>
      </c>
      <c r="J62" s="99">
        <f t="shared" si="3"/>
        <v>559</v>
      </c>
      <c r="K62" s="42">
        <f t="shared" si="9"/>
        <v>604</v>
      </c>
    </row>
    <row r="63" spans="1:11" ht="19.8" customHeight="1" x14ac:dyDescent="0.3">
      <c r="A63" s="7" t="s">
        <v>6</v>
      </c>
      <c r="B63" s="95" t="s">
        <v>224</v>
      </c>
      <c r="C63" s="3" t="s">
        <v>38</v>
      </c>
      <c r="D63" s="4">
        <v>30801</v>
      </c>
      <c r="E63" s="30">
        <v>18083</v>
      </c>
      <c r="F63" s="38">
        <v>585</v>
      </c>
      <c r="G63" s="37">
        <f t="shared" si="10"/>
        <v>1415</v>
      </c>
      <c r="H63" s="68"/>
      <c r="I63" s="84">
        <f t="shared" si="8"/>
        <v>585</v>
      </c>
      <c r="J63" s="99">
        <f t="shared" si="3"/>
        <v>625</v>
      </c>
      <c r="K63" s="42">
        <f t="shared" si="9"/>
        <v>670</v>
      </c>
    </row>
    <row r="64" spans="1:11" ht="19.8" customHeight="1" x14ac:dyDescent="0.3">
      <c r="A64" s="7" t="s">
        <v>6</v>
      </c>
      <c r="B64" s="95" t="s">
        <v>48</v>
      </c>
      <c r="C64" s="3" t="s">
        <v>199</v>
      </c>
      <c r="D64" s="12">
        <v>30571</v>
      </c>
      <c r="E64" s="31">
        <v>22873</v>
      </c>
      <c r="F64" s="38">
        <v>475</v>
      </c>
      <c r="G64" s="37">
        <f t="shared" si="10"/>
        <v>1525</v>
      </c>
      <c r="H64" s="68"/>
      <c r="I64" s="84">
        <f t="shared" si="8"/>
        <v>475</v>
      </c>
      <c r="J64" s="99">
        <f t="shared" si="3"/>
        <v>515</v>
      </c>
      <c r="K64" s="42">
        <f t="shared" si="9"/>
        <v>560</v>
      </c>
    </row>
    <row r="65" spans="1:11" ht="19.8" customHeight="1" x14ac:dyDescent="0.3">
      <c r="A65" s="7" t="s">
        <v>6</v>
      </c>
      <c r="B65" s="95" t="s">
        <v>220</v>
      </c>
      <c r="C65" s="3" t="s">
        <v>230</v>
      </c>
      <c r="D65" s="4">
        <v>30533</v>
      </c>
      <c r="E65" s="30">
        <v>20646</v>
      </c>
      <c r="F65" s="38">
        <v>474</v>
      </c>
      <c r="G65" s="37">
        <f t="shared" si="10"/>
        <v>1526</v>
      </c>
      <c r="H65" s="68"/>
      <c r="I65" s="84">
        <f t="shared" si="8"/>
        <v>474</v>
      </c>
      <c r="J65" s="99">
        <f t="shared" si="3"/>
        <v>514</v>
      </c>
      <c r="K65" s="42">
        <f t="shared" si="9"/>
        <v>559</v>
      </c>
    </row>
    <row r="66" spans="1:11" ht="19.8" customHeight="1" x14ac:dyDescent="0.3">
      <c r="A66" s="7" t="s">
        <v>6</v>
      </c>
      <c r="B66" s="5" t="s">
        <v>20</v>
      </c>
      <c r="C66" s="3" t="s">
        <v>46</v>
      </c>
      <c r="D66" s="4">
        <v>32672</v>
      </c>
      <c r="E66" s="30">
        <v>11877</v>
      </c>
      <c r="F66" s="38">
        <v>390</v>
      </c>
      <c r="G66" s="37">
        <f t="shared" si="10"/>
        <v>1610</v>
      </c>
      <c r="H66" s="68"/>
      <c r="I66" s="84">
        <f t="shared" si="8"/>
        <v>390</v>
      </c>
      <c r="J66" s="99">
        <f t="shared" si="3"/>
        <v>430</v>
      </c>
      <c r="K66" s="42">
        <f t="shared" si="9"/>
        <v>475</v>
      </c>
    </row>
    <row r="67" spans="1:11" ht="19.8" customHeight="1" x14ac:dyDescent="0.3">
      <c r="A67" s="7" t="s">
        <v>6</v>
      </c>
      <c r="B67" s="95" t="s">
        <v>221</v>
      </c>
      <c r="C67" s="3" t="s">
        <v>50</v>
      </c>
      <c r="D67" s="4">
        <v>29398</v>
      </c>
      <c r="E67" s="30">
        <v>23923</v>
      </c>
      <c r="F67" s="38">
        <v>407</v>
      </c>
      <c r="G67" s="37">
        <f t="shared" si="10"/>
        <v>1593</v>
      </c>
      <c r="H67" s="68"/>
      <c r="I67" s="84">
        <f t="shared" si="8"/>
        <v>407</v>
      </c>
      <c r="J67" s="99">
        <f t="shared" si="3"/>
        <v>447</v>
      </c>
      <c r="K67" s="42">
        <f t="shared" si="9"/>
        <v>492</v>
      </c>
    </row>
    <row r="68" spans="1:11" ht="19.8" customHeight="1" x14ac:dyDescent="0.3">
      <c r="A68" s="7" t="s">
        <v>6</v>
      </c>
      <c r="B68" s="95" t="s">
        <v>223</v>
      </c>
      <c r="C68" s="3" t="s">
        <v>46</v>
      </c>
      <c r="D68" s="4">
        <v>29302</v>
      </c>
      <c r="E68" s="30">
        <v>25165</v>
      </c>
      <c r="F68" s="38">
        <v>260</v>
      </c>
      <c r="G68" s="37">
        <f t="shared" si="10"/>
        <v>1740</v>
      </c>
      <c r="H68" s="68"/>
      <c r="I68" s="84">
        <f t="shared" si="8"/>
        <v>260</v>
      </c>
      <c r="J68" s="99">
        <f t="shared" si="3"/>
        <v>300</v>
      </c>
      <c r="K68" s="42">
        <f t="shared" ref="K68:K70" si="11">J68+45</f>
        <v>345</v>
      </c>
    </row>
    <row r="69" spans="1:11" ht="19.8" customHeight="1" x14ac:dyDescent="0.3">
      <c r="A69" s="7" t="s">
        <v>6</v>
      </c>
      <c r="B69" s="95" t="s">
        <v>56</v>
      </c>
      <c r="C69" s="8" t="s">
        <v>263</v>
      </c>
      <c r="D69" s="4">
        <v>32435</v>
      </c>
      <c r="E69" s="30">
        <v>19820</v>
      </c>
      <c r="F69" s="38">
        <v>245</v>
      </c>
      <c r="G69" s="37">
        <v>2000</v>
      </c>
      <c r="H69" s="68"/>
      <c r="I69" s="84">
        <f t="shared" si="8"/>
        <v>245</v>
      </c>
      <c r="J69" s="99">
        <f t="shared" si="3"/>
        <v>285</v>
      </c>
      <c r="K69" s="42">
        <f t="shared" si="11"/>
        <v>330</v>
      </c>
    </row>
    <row r="70" spans="1:11" ht="19.8" customHeight="1" thickBot="1" x14ac:dyDescent="0.35">
      <c r="A70" s="7" t="s">
        <v>6</v>
      </c>
      <c r="B70" s="95" t="s">
        <v>43</v>
      </c>
      <c r="C70" s="3" t="s">
        <v>7</v>
      </c>
      <c r="D70" s="4">
        <v>31322</v>
      </c>
      <c r="E70" s="30">
        <v>23258</v>
      </c>
      <c r="F70" s="38">
        <v>137</v>
      </c>
      <c r="G70" s="37">
        <v>2000</v>
      </c>
      <c r="H70" s="68"/>
      <c r="I70" s="85">
        <f t="shared" si="8"/>
        <v>137</v>
      </c>
      <c r="J70" s="100">
        <f t="shared" si="3"/>
        <v>177</v>
      </c>
      <c r="K70" s="45">
        <f t="shared" si="11"/>
        <v>222</v>
      </c>
    </row>
  </sheetData>
  <autoFilter ref="A2:K2">
    <sortState ref="A5:AE84">
      <sortCondition descending="1" ref="F4"/>
    </sortState>
  </autoFilter>
  <mergeCells count="1">
    <mergeCell ref="J1:K1"/>
  </mergeCells>
  <conditionalFormatting sqref="A55:B55 D55 A48:B48 D48 A54:D54 A53:B53 D53 G16:G19 G45:H49 A45:D47 H28:I28 G3:G14 L45:XFD48 L53:XFD55 H3 A3:B4 G52:G67 A22:E41 D3:D4 H29:H41 L22:XFD41 G23:G41 I29:I67 A5:D19 I5:I27 H14 H22:H27 H8 H53:H55 H18:H19 G15:H15 H10:H12 H57:H58 G20:H21 G42:H43 A1:D2 L1:XFD19 E1:E19 G1:I2 F1 J5:K5 J2:K3 A71:E1048576 G71:XFD1048576">
    <cfRule type="containsText" dxfId="378" priority="6233" operator="containsText" text="хранение">
      <formula>NOT(ISERROR(SEARCH("хранение",A1)))</formula>
    </cfRule>
  </conditionalFormatting>
  <conditionalFormatting sqref="F155:F1048576 F53:F55 F36:F41 F45:F48 F22:F34 F2:F19">
    <cfRule type="cellIs" dxfId="377" priority="6232" operator="between">
      <formula>0</formula>
      <formula>1999</formula>
    </cfRule>
  </conditionalFormatting>
  <conditionalFormatting sqref="F53:F55 F36:F41 F45:F48 F22:F34 F2:F19 F71:F1048576">
    <cfRule type="cellIs" dxfId="376" priority="6225" operator="equal">
      <formula>4500</formula>
    </cfRule>
    <cfRule type="cellIs" dxfId="375" priority="6226" operator="between">
      <formula>4000</formula>
      <formula>4499</formula>
    </cfRule>
    <cfRule type="cellIs" dxfId="374" priority="6227" operator="between">
      <formula>3500</formula>
      <formula>3999</formula>
    </cfRule>
    <cfRule type="cellIs" dxfId="373" priority="6228" operator="between">
      <formula>3000</formula>
      <formula>3499</formula>
    </cfRule>
    <cfRule type="cellIs" dxfId="372" priority="6229" operator="between">
      <formula>2000</formula>
      <formula>2999</formula>
    </cfRule>
    <cfRule type="cellIs" dxfId="371" priority="6230" operator="between">
      <formula>1</formula>
      <formula>1999</formula>
    </cfRule>
    <cfRule type="cellIs" dxfId="370" priority="6231" operator="between">
      <formula>2000</formula>
      <formula>2999</formula>
    </cfRule>
  </conditionalFormatting>
  <conditionalFormatting sqref="F35">
    <cfRule type="cellIs" dxfId="369" priority="6224" operator="between">
      <formula>0</formula>
      <formula>1999</formula>
    </cfRule>
  </conditionalFormatting>
  <conditionalFormatting sqref="F35">
    <cfRule type="cellIs" dxfId="368" priority="6217" operator="equal">
      <formula>4500</formula>
    </cfRule>
    <cfRule type="cellIs" dxfId="367" priority="6218" operator="between">
      <formula>4000</formula>
      <formula>4499</formula>
    </cfRule>
    <cfRule type="cellIs" dxfId="366" priority="6219" operator="between">
      <formula>3500</formula>
      <formula>3999</formula>
    </cfRule>
    <cfRule type="cellIs" dxfId="365" priority="6220" operator="between">
      <formula>3000</formula>
      <formula>3499</formula>
    </cfRule>
    <cfRule type="cellIs" dxfId="364" priority="6221" operator="between">
      <formula>2000</formula>
      <formula>2999</formula>
    </cfRule>
    <cfRule type="cellIs" dxfId="363" priority="6222" operator="between">
      <formula>1</formula>
      <formula>1999</formula>
    </cfRule>
    <cfRule type="cellIs" dxfId="362" priority="6223" operator="between">
      <formula>2000</formula>
      <formula>2999</formula>
    </cfRule>
  </conditionalFormatting>
  <conditionalFormatting sqref="H8 H53:H55 H14:H15 H45:H48 H10:H12 H58 H18:H43 H1:H3 J5:K5 J3:K3 H71:H1048576">
    <cfRule type="containsText" dxfId="361" priority="6214" operator="containsText" text="продление">
      <formula>NOT(ISERROR(SEARCH("продление",H1)))</formula>
    </cfRule>
  </conditionalFormatting>
  <conditionalFormatting sqref="H17">
    <cfRule type="containsText" dxfId="360" priority="6213" operator="containsText" text="хранение">
      <formula>NOT(ISERROR(SEARCH("хранение",H17)))</formula>
    </cfRule>
  </conditionalFormatting>
  <conditionalFormatting sqref="H17">
    <cfRule type="containsText" dxfId="359" priority="6212" operator="containsText" text="продление">
      <formula>NOT(ISERROR(SEARCH("продление",H17)))</formula>
    </cfRule>
  </conditionalFormatting>
  <conditionalFormatting sqref="A49:B49 D49 L49:XFD49">
    <cfRule type="containsText" dxfId="358" priority="6178" operator="containsText" text="хранение">
      <formula>NOT(ISERROR(SEARCH("хранение",A49)))</formula>
    </cfRule>
  </conditionalFormatting>
  <conditionalFormatting sqref="F49">
    <cfRule type="cellIs" dxfId="357" priority="6177" operator="between">
      <formula>0</formula>
      <formula>1999</formula>
    </cfRule>
  </conditionalFormatting>
  <conditionalFormatting sqref="F49">
    <cfRule type="cellIs" dxfId="356" priority="6170" operator="equal">
      <formula>4500</formula>
    </cfRule>
    <cfRule type="cellIs" dxfId="355" priority="6171" operator="between">
      <formula>4000</formula>
      <formula>4499</formula>
    </cfRule>
    <cfRule type="cellIs" dxfId="354" priority="6172" operator="between">
      <formula>3500</formula>
      <formula>3999</formula>
    </cfRule>
    <cfRule type="cellIs" dxfId="353" priority="6173" operator="between">
      <formula>3000</formula>
      <formula>3499</formula>
    </cfRule>
    <cfRule type="cellIs" dxfId="352" priority="6174" operator="between">
      <formula>2000</formula>
      <formula>2999</formula>
    </cfRule>
    <cfRule type="cellIs" dxfId="351" priority="6175" operator="between">
      <formula>1</formula>
      <formula>1999</formula>
    </cfRule>
    <cfRule type="cellIs" dxfId="350" priority="6176" operator="between">
      <formula>2000</formula>
      <formula>2999</formula>
    </cfRule>
  </conditionalFormatting>
  <conditionalFormatting sqref="H49">
    <cfRule type="containsText" dxfId="349" priority="6169" operator="containsText" text="продление">
      <formula>NOT(ISERROR(SEARCH("продление",H49)))</formula>
    </cfRule>
  </conditionalFormatting>
  <conditionalFormatting sqref="C49">
    <cfRule type="containsText" dxfId="348" priority="6166" operator="containsText" text="хранение">
      <formula>NOT(ISERROR(SEARCH("хранение",C49)))</formula>
    </cfRule>
  </conditionalFormatting>
  <conditionalFormatting sqref="B57 D57 L57:XFD57">
    <cfRule type="containsText" dxfId="347" priority="6165" operator="containsText" text="хранение">
      <formula>NOT(ISERROR(SEARCH("хранение",B57)))</formula>
    </cfRule>
  </conditionalFormatting>
  <conditionalFormatting sqref="F57">
    <cfRule type="cellIs" dxfId="346" priority="6164" operator="between">
      <formula>0</formula>
      <formula>1999</formula>
    </cfRule>
  </conditionalFormatting>
  <conditionalFormatting sqref="F57">
    <cfRule type="cellIs" dxfId="345" priority="6157" operator="equal">
      <formula>4500</formula>
    </cfRule>
    <cfRule type="cellIs" dxfId="344" priority="6158" operator="between">
      <formula>4000</formula>
      <formula>4499</formula>
    </cfRule>
    <cfRule type="cellIs" dxfId="343" priority="6159" operator="between">
      <formula>3500</formula>
      <formula>3999</formula>
    </cfRule>
    <cfRule type="cellIs" dxfId="342" priority="6160" operator="between">
      <formula>3000</formula>
      <formula>3499</formula>
    </cfRule>
    <cfRule type="cellIs" dxfId="341" priority="6161" operator="between">
      <formula>2000</formula>
      <formula>2999</formula>
    </cfRule>
    <cfRule type="cellIs" dxfId="340" priority="6162" operator="between">
      <formula>1</formula>
      <formula>1999</formula>
    </cfRule>
    <cfRule type="cellIs" dxfId="339" priority="6163" operator="between">
      <formula>2000</formula>
      <formula>2999</formula>
    </cfRule>
  </conditionalFormatting>
  <conditionalFormatting sqref="H57">
    <cfRule type="containsText" dxfId="338" priority="6155" operator="containsText" text="продление">
      <formula>NOT(ISERROR(SEARCH("продление",H57)))</formula>
    </cfRule>
  </conditionalFormatting>
  <conditionalFormatting sqref="H19">
    <cfRule type="containsText" dxfId="337" priority="6147" operator="containsText" text="ремонт">
      <formula>NOT(ISERROR(SEARCH("ремонт",H19)))</formula>
    </cfRule>
  </conditionalFormatting>
  <conditionalFormatting sqref="A56:B56 D56 H56 L56:XFD56">
    <cfRule type="containsText" dxfId="336" priority="6116" operator="containsText" text="хранение">
      <formula>NOT(ISERROR(SEARCH("хранение",A56)))</formula>
    </cfRule>
  </conditionalFormatting>
  <conditionalFormatting sqref="F56">
    <cfRule type="cellIs" dxfId="335" priority="6115" operator="between">
      <formula>0</formula>
      <formula>1999</formula>
    </cfRule>
  </conditionalFormatting>
  <conditionalFormatting sqref="F56">
    <cfRule type="cellIs" dxfId="334" priority="6108" operator="equal">
      <formula>4500</formula>
    </cfRule>
    <cfRule type="cellIs" dxfId="333" priority="6109" operator="between">
      <formula>4000</formula>
      <formula>4499</formula>
    </cfRule>
    <cfRule type="cellIs" dxfId="332" priority="6110" operator="between">
      <formula>3500</formula>
      <formula>3999</formula>
    </cfRule>
    <cfRule type="cellIs" dxfId="331" priority="6111" operator="between">
      <formula>3000</formula>
      <formula>3499</formula>
    </cfRule>
    <cfRule type="cellIs" dxfId="330" priority="6112" operator="between">
      <formula>2000</formula>
      <formula>2999</formula>
    </cfRule>
    <cfRule type="cellIs" dxfId="329" priority="6113" operator="between">
      <formula>1</formula>
      <formula>1999</formula>
    </cfRule>
    <cfRule type="cellIs" dxfId="328" priority="6114" operator="between">
      <formula>2000</formula>
      <formula>2999</formula>
    </cfRule>
  </conditionalFormatting>
  <conditionalFormatting sqref="H56">
    <cfRule type="containsText" dxfId="327" priority="6107" operator="containsText" text="продление">
      <formula>NOT(ISERROR(SEARCH("продление",H56)))</formula>
    </cfRule>
  </conditionalFormatting>
  <conditionalFormatting sqref="C56">
    <cfRule type="containsText" dxfId="326" priority="6104" operator="containsText" text="хранение">
      <formula>NOT(ISERROR(SEARCH("хранение",C56)))</formula>
    </cfRule>
  </conditionalFormatting>
  <conditionalFormatting sqref="A52:B52 D52 L52:XFD52">
    <cfRule type="containsText" dxfId="325" priority="6103" operator="containsText" text="хранение">
      <formula>NOT(ISERROR(SEARCH("хранение",A52)))</formula>
    </cfRule>
  </conditionalFormatting>
  <conditionalFormatting sqref="F52">
    <cfRule type="cellIs" dxfId="324" priority="6102" operator="between">
      <formula>0</formula>
      <formula>1999</formula>
    </cfRule>
  </conditionalFormatting>
  <conditionalFormatting sqref="F52">
    <cfRule type="cellIs" dxfId="323" priority="6095" operator="equal">
      <formula>4500</formula>
    </cfRule>
    <cfRule type="cellIs" dxfId="322" priority="6096" operator="between">
      <formula>4000</formula>
      <formula>4499</formula>
    </cfRule>
    <cfRule type="cellIs" dxfId="321" priority="6097" operator="between">
      <formula>3500</formula>
      <formula>3999</formula>
    </cfRule>
    <cfRule type="cellIs" dxfId="320" priority="6098" operator="between">
      <formula>3000</formula>
      <formula>3499</formula>
    </cfRule>
    <cfRule type="cellIs" dxfId="319" priority="6099" operator="between">
      <formula>2000</formula>
      <formula>2999</formula>
    </cfRule>
    <cfRule type="cellIs" dxfId="318" priority="6100" operator="between">
      <formula>1</formula>
      <formula>1999</formula>
    </cfRule>
    <cfRule type="cellIs" dxfId="317" priority="6101" operator="between">
      <formula>2000</formula>
      <formula>2999</formula>
    </cfRule>
  </conditionalFormatting>
  <conditionalFormatting sqref="C55">
    <cfRule type="containsText" dxfId="316" priority="6038" operator="containsText" text="хранение">
      <formula>NOT(ISERROR(SEARCH("хранение",C55)))</formula>
    </cfRule>
  </conditionalFormatting>
  <conditionalFormatting sqref="C48">
    <cfRule type="containsText" dxfId="315" priority="5557" operator="containsText" text="хранение">
      <formula>NOT(ISERROR(SEARCH("хранение",C48)))</formula>
    </cfRule>
  </conditionalFormatting>
  <conditionalFormatting sqref="A58">
    <cfRule type="containsText" dxfId="314" priority="5284" operator="containsText" text="хранение">
      <formula>NOT(ISERROR(SEARCH("хранение",A58)))</formula>
    </cfRule>
  </conditionalFormatting>
  <conditionalFormatting sqref="H13">
    <cfRule type="containsText" dxfId="313" priority="5329" operator="containsText" text="хранение">
      <formula>NOT(ISERROR(SEARCH("хранение",H13)))</formula>
    </cfRule>
  </conditionalFormatting>
  <conditionalFormatting sqref="H13">
    <cfRule type="containsText" dxfId="312" priority="5328" operator="containsText" text="продление">
      <formula>NOT(ISERROR(SEARCH("продление",H13)))</formula>
    </cfRule>
  </conditionalFormatting>
  <conditionalFormatting sqref="B58 L58:XFD58">
    <cfRule type="containsText" dxfId="311" priority="5300" operator="containsText" text="хранение">
      <formula>NOT(ISERROR(SEARCH("хранение",B58)))</formula>
    </cfRule>
  </conditionalFormatting>
  <conditionalFormatting sqref="F58">
    <cfRule type="cellIs" dxfId="310" priority="5299" operator="between">
      <formula>0</formula>
      <formula>1999</formula>
    </cfRule>
  </conditionalFormatting>
  <conditionalFormatting sqref="F58">
    <cfRule type="cellIs" dxfId="309" priority="5292" operator="equal">
      <formula>4500</formula>
    </cfRule>
    <cfRule type="cellIs" dxfId="308" priority="5293" operator="between">
      <formula>4000</formula>
      <formula>4499</formula>
    </cfRule>
    <cfRule type="cellIs" dxfId="307" priority="5294" operator="between">
      <formula>3500</formula>
      <formula>3999</formula>
    </cfRule>
    <cfRule type="cellIs" dxfId="306" priority="5295" operator="between">
      <formula>3000</formula>
      <formula>3499</formula>
    </cfRule>
    <cfRule type="cellIs" dxfId="305" priority="5296" operator="between">
      <formula>2000</formula>
      <formula>2999</formula>
    </cfRule>
    <cfRule type="cellIs" dxfId="304" priority="5297" operator="between">
      <formula>1</formula>
      <formula>1999</formula>
    </cfRule>
    <cfRule type="cellIs" dxfId="303" priority="5298" operator="between">
      <formula>2000</formula>
      <formula>2999</formula>
    </cfRule>
  </conditionalFormatting>
  <conditionalFormatting sqref="C58">
    <cfRule type="containsText" dxfId="302" priority="5289" operator="containsText" text="хранение">
      <formula>NOT(ISERROR(SEARCH("хранение",C58)))</formula>
    </cfRule>
  </conditionalFormatting>
  <conditionalFormatting sqref="A59">
    <cfRule type="containsText" dxfId="301" priority="5257" operator="containsText" text="хранение">
      <formula>NOT(ISERROR(SEARCH("хранение",A59)))</formula>
    </cfRule>
  </conditionalFormatting>
  <conditionalFormatting sqref="H59:H60">
    <cfRule type="containsText" dxfId="300" priority="5275" operator="containsText" text="хранение">
      <formula>NOT(ISERROR(SEARCH("хранение",H59)))</formula>
    </cfRule>
  </conditionalFormatting>
  <conditionalFormatting sqref="B59 D59 L59:XFD59">
    <cfRule type="containsText" dxfId="299" priority="5273" operator="containsText" text="хранение">
      <formula>NOT(ISERROR(SEARCH("хранение",B59)))</formula>
    </cfRule>
  </conditionalFormatting>
  <conditionalFormatting sqref="F59">
    <cfRule type="cellIs" dxfId="298" priority="5272" operator="between">
      <formula>0</formula>
      <formula>1999</formula>
    </cfRule>
  </conditionalFormatting>
  <conditionalFormatting sqref="F59">
    <cfRule type="cellIs" dxfId="297" priority="5265" operator="equal">
      <formula>4500</formula>
    </cfRule>
    <cfRule type="cellIs" dxfId="296" priority="5266" operator="between">
      <formula>4000</formula>
      <formula>4499</formula>
    </cfRule>
    <cfRule type="cellIs" dxfId="295" priority="5267" operator="between">
      <formula>3500</formula>
      <formula>3999</formula>
    </cfRule>
    <cfRule type="cellIs" dxfId="294" priority="5268" operator="between">
      <formula>3000</formula>
      <formula>3499</formula>
    </cfRule>
    <cfRule type="cellIs" dxfId="293" priority="5269" operator="between">
      <formula>2000</formula>
      <formula>2999</formula>
    </cfRule>
    <cfRule type="cellIs" dxfId="292" priority="5270" operator="between">
      <formula>1</formula>
      <formula>1999</formula>
    </cfRule>
    <cfRule type="cellIs" dxfId="291" priority="5271" operator="between">
      <formula>2000</formula>
      <formula>2999</formula>
    </cfRule>
  </conditionalFormatting>
  <conditionalFormatting sqref="H59:H60">
    <cfRule type="containsText" dxfId="290" priority="5263" operator="containsText" text="продление">
      <formula>NOT(ISERROR(SEARCH("продление",H59)))</formula>
    </cfRule>
  </conditionalFormatting>
  <conditionalFormatting sqref="C59">
    <cfRule type="containsText" dxfId="289" priority="5262" operator="containsText" text="хранение">
      <formula>NOT(ISERROR(SEARCH("хранение",C59)))</formula>
    </cfRule>
  </conditionalFormatting>
  <conditionalFormatting sqref="B60 D60 L60:XFD60">
    <cfRule type="containsText" dxfId="288" priority="5246" operator="containsText" text="хранение">
      <formula>NOT(ISERROR(SEARCH("хранение",B60)))</formula>
    </cfRule>
  </conditionalFormatting>
  <conditionalFormatting sqref="F60">
    <cfRule type="cellIs" dxfId="287" priority="5245" operator="between">
      <formula>0</formula>
      <formula>1999</formula>
    </cfRule>
  </conditionalFormatting>
  <conditionalFormatting sqref="F60">
    <cfRule type="cellIs" dxfId="286" priority="5238" operator="equal">
      <formula>4500</formula>
    </cfRule>
    <cfRule type="cellIs" dxfId="285" priority="5239" operator="between">
      <formula>4000</formula>
      <formula>4499</formula>
    </cfRule>
    <cfRule type="cellIs" dxfId="284" priority="5240" operator="between">
      <formula>3500</formula>
      <formula>3999</formula>
    </cfRule>
    <cfRule type="cellIs" dxfId="283" priority="5241" operator="between">
      <formula>3000</formula>
      <formula>3499</formula>
    </cfRule>
    <cfRule type="cellIs" dxfId="282" priority="5242" operator="between">
      <formula>2000</formula>
      <formula>2999</formula>
    </cfRule>
    <cfRule type="cellIs" dxfId="281" priority="5243" operator="between">
      <formula>1</formula>
      <formula>1999</formula>
    </cfRule>
    <cfRule type="cellIs" dxfId="280" priority="5244" operator="between">
      <formula>2000</formula>
      <formula>2999</formula>
    </cfRule>
  </conditionalFormatting>
  <conditionalFormatting sqref="C60">
    <cfRule type="containsText" dxfId="279" priority="5235" operator="containsText" text="хранение">
      <formula>NOT(ISERROR(SEARCH("хранение",C60)))</formula>
    </cfRule>
  </conditionalFormatting>
  <conditionalFormatting sqref="D58">
    <cfRule type="containsText" dxfId="278" priority="5163" operator="containsText" text="хранение">
      <formula>NOT(ISERROR(SEARCH("хранение",D58)))</formula>
    </cfRule>
  </conditionalFormatting>
  <conditionalFormatting sqref="A21:B21 D21 G22 L21:XFD21">
    <cfRule type="containsText" dxfId="277" priority="5109" operator="containsText" text="хранение">
      <formula>NOT(ISERROR(SEARCH("хранение",A21)))</formula>
    </cfRule>
  </conditionalFormatting>
  <conditionalFormatting sqref="F21">
    <cfRule type="cellIs" dxfId="276" priority="5108" operator="between">
      <formula>0</formula>
      <formula>1999</formula>
    </cfRule>
  </conditionalFormatting>
  <conditionalFormatting sqref="F21">
    <cfRule type="cellIs" dxfId="275" priority="5101" operator="equal">
      <formula>4500</formula>
    </cfRule>
    <cfRule type="cellIs" dxfId="274" priority="5102" operator="between">
      <formula>4000</formula>
      <formula>4499</formula>
    </cfRule>
    <cfRule type="cellIs" dxfId="273" priority="5103" operator="between">
      <formula>3500</formula>
      <formula>3999</formula>
    </cfRule>
    <cfRule type="cellIs" dxfId="272" priority="5104" operator="between">
      <formula>3000</formula>
      <formula>3499</formula>
    </cfRule>
    <cfRule type="cellIs" dxfId="271" priority="5105" operator="between">
      <formula>2000</formula>
      <formula>2999</formula>
    </cfRule>
    <cfRule type="cellIs" dxfId="270" priority="5106" operator="between">
      <formula>1</formula>
      <formula>1999</formula>
    </cfRule>
    <cfRule type="cellIs" dxfId="269" priority="5107" operator="between">
      <formula>2000</formula>
      <formula>2999</formula>
    </cfRule>
  </conditionalFormatting>
  <conditionalFormatting sqref="H21">
    <cfRule type="containsText" dxfId="268" priority="5098" operator="containsText" text="ремонт">
      <formula>NOT(ISERROR(SEARCH("ремонт",H21)))</formula>
    </cfRule>
  </conditionalFormatting>
  <conditionalFormatting sqref="A20:D20 L20:XFD20">
    <cfRule type="containsText" dxfId="267" priority="5086" operator="containsText" text="хранение">
      <formula>NOT(ISERROR(SEARCH("хранение",A20)))</formula>
    </cfRule>
  </conditionalFormatting>
  <conditionalFormatting sqref="F20">
    <cfRule type="cellIs" dxfId="266" priority="5085" operator="between">
      <formula>0</formula>
      <formula>1999</formula>
    </cfRule>
  </conditionalFormatting>
  <conditionalFormatting sqref="F20">
    <cfRule type="cellIs" dxfId="265" priority="5078" operator="equal">
      <formula>4500</formula>
    </cfRule>
    <cfRule type="cellIs" dxfId="264" priority="5079" operator="between">
      <formula>4000</formula>
      <formula>4499</formula>
    </cfRule>
    <cfRule type="cellIs" dxfId="263" priority="5080" operator="between">
      <formula>3500</formula>
      <formula>3999</formula>
    </cfRule>
    <cfRule type="cellIs" dxfId="262" priority="5081" operator="between">
      <formula>3000</formula>
      <formula>3499</formula>
    </cfRule>
    <cfRule type="cellIs" dxfId="261" priority="5082" operator="between">
      <formula>2000</formula>
      <formula>2999</formula>
    </cfRule>
    <cfRule type="cellIs" dxfId="260" priority="5083" operator="between">
      <formula>1</formula>
      <formula>1999</formula>
    </cfRule>
    <cfRule type="cellIs" dxfId="259" priority="5084" operator="between">
      <formula>2000</formula>
      <formula>2999</formula>
    </cfRule>
  </conditionalFormatting>
  <conditionalFormatting sqref="H20">
    <cfRule type="containsText" dxfId="258" priority="5075" operator="containsText" text="ремонт">
      <formula>NOT(ISERROR(SEARCH("ремонт",H20)))</formula>
    </cfRule>
  </conditionalFormatting>
  <conditionalFormatting sqref="H61">
    <cfRule type="containsText" dxfId="257" priority="4974" operator="containsText" text="хранение">
      <formula>NOT(ISERROR(SEARCH("хранение",H61)))</formula>
    </cfRule>
  </conditionalFormatting>
  <conditionalFormatting sqref="L61:XFD61">
    <cfRule type="containsText" dxfId="256" priority="4973" operator="containsText" text="хранение">
      <formula>NOT(ISERROR(SEARCH("хранение",L61)))</formula>
    </cfRule>
  </conditionalFormatting>
  <conditionalFormatting sqref="F61">
    <cfRule type="cellIs" dxfId="255" priority="4972" operator="between">
      <formula>0</formula>
      <formula>1999</formula>
    </cfRule>
  </conditionalFormatting>
  <conditionalFormatting sqref="F61">
    <cfRule type="cellIs" dxfId="254" priority="4965" operator="equal">
      <formula>4500</formula>
    </cfRule>
    <cfRule type="cellIs" dxfId="253" priority="4966" operator="between">
      <formula>4000</formula>
      <formula>4499</formula>
    </cfRule>
    <cfRule type="cellIs" dxfId="252" priority="4967" operator="between">
      <formula>3500</formula>
      <formula>3999</formula>
    </cfRule>
    <cfRule type="cellIs" dxfId="251" priority="4968" operator="between">
      <formula>3000</formula>
      <formula>3499</formula>
    </cfRule>
    <cfRule type="cellIs" dxfId="250" priority="4969" operator="between">
      <formula>2000</formula>
      <formula>2999</formula>
    </cfRule>
    <cfRule type="cellIs" dxfId="249" priority="4970" operator="between">
      <formula>1</formula>
      <formula>1999</formula>
    </cfRule>
    <cfRule type="cellIs" dxfId="248" priority="4971" operator="between">
      <formula>2000</formula>
      <formula>2999</formula>
    </cfRule>
  </conditionalFormatting>
  <conditionalFormatting sqref="H61">
    <cfRule type="containsText" dxfId="247" priority="4964" operator="containsText" text="продление">
      <formula>NOT(ISERROR(SEARCH("продление",H61)))</formula>
    </cfRule>
  </conditionalFormatting>
  <conditionalFormatting sqref="D61">
    <cfRule type="containsText" dxfId="246" priority="4726" operator="containsText" text="хранение">
      <formula>NOT(ISERROR(SEARCH("хранение",D61)))</formula>
    </cfRule>
  </conditionalFormatting>
  <conditionalFormatting sqref="B61">
    <cfRule type="containsText" dxfId="245" priority="4728" operator="containsText" text="хранение">
      <formula>NOT(ISERROR(SEARCH("хранение",B61)))</formula>
    </cfRule>
  </conditionalFormatting>
  <conditionalFormatting sqref="C61">
    <cfRule type="containsText" dxfId="244" priority="4727" operator="containsText" text="хранение">
      <formula>NOT(ISERROR(SEARCH("хранение",C61)))</formula>
    </cfRule>
  </conditionalFormatting>
  <conditionalFormatting sqref="A62">
    <cfRule type="containsText" dxfId="243" priority="4675" operator="containsText" text="хранение">
      <formula>NOT(ISERROR(SEARCH("хранение",A62)))</formula>
    </cfRule>
  </conditionalFormatting>
  <conditionalFormatting sqref="H62">
    <cfRule type="containsText" dxfId="242" priority="4686" operator="containsText" text="хранение">
      <formula>NOT(ISERROR(SEARCH("хранение",H62)))</formula>
    </cfRule>
  </conditionalFormatting>
  <conditionalFormatting sqref="L62:XFD62">
    <cfRule type="containsText" dxfId="241" priority="4685" operator="containsText" text="хранение">
      <formula>NOT(ISERROR(SEARCH("хранение",L62)))</formula>
    </cfRule>
  </conditionalFormatting>
  <conditionalFormatting sqref="F62">
    <cfRule type="cellIs" dxfId="240" priority="4684" operator="between">
      <formula>0</formula>
      <formula>1999</formula>
    </cfRule>
  </conditionalFormatting>
  <conditionalFormatting sqref="F62">
    <cfRule type="cellIs" dxfId="239" priority="4677" operator="equal">
      <formula>4500</formula>
    </cfRule>
    <cfRule type="cellIs" dxfId="238" priority="4678" operator="between">
      <formula>4000</formula>
      <formula>4499</formula>
    </cfRule>
    <cfRule type="cellIs" dxfId="237" priority="4679" operator="between">
      <formula>3500</formula>
      <formula>3999</formula>
    </cfRule>
    <cfRule type="cellIs" dxfId="236" priority="4680" operator="between">
      <formula>3000</formula>
      <formula>3499</formula>
    </cfRule>
    <cfRule type="cellIs" dxfId="235" priority="4681" operator="between">
      <formula>2000</formula>
      <formula>2999</formula>
    </cfRule>
    <cfRule type="cellIs" dxfId="234" priority="4682" operator="between">
      <formula>1</formula>
      <formula>1999</formula>
    </cfRule>
    <cfRule type="cellIs" dxfId="233" priority="4683" operator="between">
      <formula>2000</formula>
      <formula>2999</formula>
    </cfRule>
  </conditionalFormatting>
  <conditionalFormatting sqref="H62">
    <cfRule type="containsText" dxfId="232" priority="4676" operator="containsText" text="продление">
      <formula>NOT(ISERROR(SEARCH("продление",H62)))</formula>
    </cfRule>
  </conditionalFormatting>
  <conditionalFormatting sqref="B62">
    <cfRule type="containsText" dxfId="231" priority="4649" operator="containsText" text="хранение">
      <formula>NOT(ISERROR(SEARCH("хранение",B62)))</formula>
    </cfRule>
  </conditionalFormatting>
  <conditionalFormatting sqref="D62">
    <cfRule type="containsText" dxfId="230" priority="4647" operator="containsText" text="хранение">
      <formula>NOT(ISERROR(SEARCH("хранение",D62)))</formula>
    </cfRule>
  </conditionalFormatting>
  <conditionalFormatting sqref="H5">
    <cfRule type="containsText" dxfId="229" priority="4590" operator="containsText" text="хранение">
      <formula>NOT(ISERROR(SEARCH("хранение",H5)))</formula>
    </cfRule>
  </conditionalFormatting>
  <conditionalFormatting sqref="H5">
    <cfRule type="containsText" dxfId="228" priority="4589" operator="containsText" text="продление">
      <formula>NOT(ISERROR(SEARCH("продление",H5)))</formula>
    </cfRule>
  </conditionalFormatting>
  <conditionalFormatting sqref="C57">
    <cfRule type="containsText" dxfId="227" priority="4518" operator="containsText" text="хранение">
      <formula>NOT(ISERROR(SEARCH("хранение",C57)))</formula>
    </cfRule>
  </conditionalFormatting>
  <conditionalFormatting sqref="C53">
    <cfRule type="containsText" dxfId="226" priority="3624" operator="containsText" text="хранение">
      <formula>NOT(ISERROR(SEARCH("хранение",C53)))</formula>
    </cfRule>
  </conditionalFormatting>
  <conditionalFormatting sqref="C52">
    <cfRule type="containsText" dxfId="225" priority="3623" operator="containsText" text="хранение">
      <formula>NOT(ISERROR(SEARCH("хранение",C52)))</formula>
    </cfRule>
  </conditionalFormatting>
  <conditionalFormatting sqref="G51 H51:H52">
    <cfRule type="containsText" dxfId="224" priority="3464" operator="containsText" text="хранение">
      <formula>NOT(ISERROR(SEARCH("хранение",G51)))</formula>
    </cfRule>
  </conditionalFormatting>
  <conditionalFormatting sqref="H51:H52">
    <cfRule type="containsText" dxfId="223" priority="3463" operator="containsText" text="продление">
      <formula>NOT(ISERROR(SEARCH("продление",H51)))</formula>
    </cfRule>
  </conditionalFormatting>
  <conditionalFormatting sqref="A51:B51 D51 L51:XFD51">
    <cfRule type="containsText" dxfId="222" priority="3462" operator="containsText" text="хранение">
      <formula>NOT(ISERROR(SEARCH("хранение",A51)))</formula>
    </cfRule>
  </conditionalFormatting>
  <conditionalFormatting sqref="F51">
    <cfRule type="cellIs" dxfId="221" priority="3461" operator="between">
      <formula>0</formula>
      <formula>1999</formula>
    </cfRule>
  </conditionalFormatting>
  <conditionalFormatting sqref="F51">
    <cfRule type="cellIs" dxfId="220" priority="3454" operator="equal">
      <formula>4500</formula>
    </cfRule>
    <cfRule type="cellIs" dxfId="219" priority="3455" operator="between">
      <formula>4000</formula>
      <formula>4499</formula>
    </cfRule>
    <cfRule type="cellIs" dxfId="218" priority="3456" operator="between">
      <formula>3500</formula>
      <formula>3999</formula>
    </cfRule>
    <cfRule type="cellIs" dxfId="217" priority="3457" operator="between">
      <formula>3000</formula>
      <formula>3499</formula>
    </cfRule>
    <cfRule type="cellIs" dxfId="216" priority="3458" operator="between">
      <formula>2000</formula>
      <formula>2999</formula>
    </cfRule>
    <cfRule type="cellIs" dxfId="215" priority="3459" operator="between">
      <formula>1</formula>
      <formula>1999</formula>
    </cfRule>
    <cfRule type="cellIs" dxfId="214" priority="3460" operator="between">
      <formula>2000</formula>
      <formula>2999</formula>
    </cfRule>
  </conditionalFormatting>
  <conditionalFormatting sqref="C51">
    <cfRule type="containsText" dxfId="213" priority="3442" operator="containsText" text="хранение">
      <formula>NOT(ISERROR(SEARCH("хранение",C51)))</formula>
    </cfRule>
  </conditionalFormatting>
  <conditionalFormatting sqref="C4">
    <cfRule type="containsText" dxfId="212" priority="3437" operator="containsText" text="хранение">
      <formula>NOT(ISERROR(SEARCH("хранение",C4)))</formula>
    </cfRule>
  </conditionalFormatting>
  <conditionalFormatting sqref="B44">
    <cfRule type="containsText" dxfId="211" priority="3320" operator="containsText" text="хранение">
      <formula>NOT(ISERROR(SEARCH("хранение",B44)))</formula>
    </cfRule>
  </conditionalFormatting>
  <conditionalFormatting sqref="G50:H50">
    <cfRule type="containsText" dxfId="210" priority="3402" operator="containsText" text="хранение">
      <formula>NOT(ISERROR(SEARCH("хранение",G50)))</formula>
    </cfRule>
  </conditionalFormatting>
  <conditionalFormatting sqref="H50">
    <cfRule type="containsText" dxfId="209" priority="3401" operator="containsText" text="продление">
      <formula>NOT(ISERROR(SEARCH("продление",H50)))</formula>
    </cfRule>
  </conditionalFormatting>
  <conditionalFormatting sqref="A50:B50 D50 L50:XFD50">
    <cfRule type="containsText" dxfId="208" priority="3400" operator="containsText" text="хранение">
      <formula>NOT(ISERROR(SEARCH("хранение",A50)))</formula>
    </cfRule>
  </conditionalFormatting>
  <conditionalFormatting sqref="F50">
    <cfRule type="cellIs" dxfId="207" priority="3399" operator="between">
      <formula>0</formula>
      <formula>1999</formula>
    </cfRule>
  </conditionalFormatting>
  <conditionalFormatting sqref="F50">
    <cfRule type="cellIs" dxfId="206" priority="3392" operator="equal">
      <formula>4500</formula>
    </cfRule>
    <cfRule type="cellIs" dxfId="205" priority="3393" operator="between">
      <formula>4000</formula>
      <formula>4499</formula>
    </cfRule>
    <cfRule type="cellIs" dxfId="204" priority="3394" operator="between">
      <formula>3500</formula>
      <formula>3999</formula>
    </cfRule>
    <cfRule type="cellIs" dxfId="203" priority="3395" operator="between">
      <formula>3000</formula>
      <formula>3499</formula>
    </cfRule>
    <cfRule type="cellIs" dxfId="202" priority="3396" operator="between">
      <formula>2000</formula>
      <formula>2999</formula>
    </cfRule>
    <cfRule type="cellIs" dxfId="201" priority="3397" operator="between">
      <formula>1</formula>
      <formula>1999</formula>
    </cfRule>
    <cfRule type="cellIs" dxfId="200" priority="3398" operator="between">
      <formula>2000</formula>
      <formula>2999</formula>
    </cfRule>
  </conditionalFormatting>
  <conditionalFormatting sqref="C50">
    <cfRule type="containsText" dxfId="199" priority="3386" operator="containsText" text="хранение">
      <formula>NOT(ISERROR(SEARCH("хранение",C50)))</formula>
    </cfRule>
  </conditionalFormatting>
  <conditionalFormatting sqref="G44 A44 C44:D44 L44:XFD44">
    <cfRule type="containsText" dxfId="198" priority="3375" operator="containsText" text="хранение">
      <formula>NOT(ISERROR(SEARCH("хранение",A44)))</formula>
    </cfRule>
  </conditionalFormatting>
  <conditionalFormatting sqref="F44">
    <cfRule type="cellIs" dxfId="197" priority="3374" operator="between">
      <formula>0</formula>
      <formula>1999</formula>
    </cfRule>
  </conditionalFormatting>
  <conditionalFormatting sqref="F44">
    <cfRule type="cellIs" dxfId="196" priority="3367" operator="equal">
      <formula>4500</formula>
    </cfRule>
    <cfRule type="cellIs" dxfId="195" priority="3368" operator="between">
      <formula>4000</formula>
      <formula>4499</formula>
    </cfRule>
    <cfRule type="cellIs" dxfId="194" priority="3369" operator="between">
      <formula>3500</formula>
      <formula>3999</formula>
    </cfRule>
    <cfRule type="cellIs" dxfId="193" priority="3370" operator="between">
      <formula>3000</formula>
      <formula>3499</formula>
    </cfRule>
    <cfRule type="cellIs" dxfId="192" priority="3371" operator="between">
      <formula>2000</formula>
      <formula>2999</formula>
    </cfRule>
    <cfRule type="cellIs" dxfId="191" priority="3372" operator="between">
      <formula>1</formula>
      <formula>1999</formula>
    </cfRule>
    <cfRule type="cellIs" dxfId="190" priority="3373" operator="between">
      <formula>2000</formula>
      <formula>2999</formula>
    </cfRule>
  </conditionalFormatting>
  <conditionalFormatting sqref="A43 C43:D43 L43:XFD43">
    <cfRule type="containsText" dxfId="189" priority="3348" operator="containsText" text="хранение">
      <formula>NOT(ISERROR(SEARCH("хранение",A43)))</formula>
    </cfRule>
  </conditionalFormatting>
  <conditionalFormatting sqref="F43">
    <cfRule type="cellIs" dxfId="188" priority="3347" operator="between">
      <formula>0</formula>
      <formula>1999</formula>
    </cfRule>
  </conditionalFormatting>
  <conditionalFormatting sqref="F43">
    <cfRule type="cellIs" dxfId="187" priority="3340" operator="equal">
      <formula>4500</formula>
    </cfRule>
    <cfRule type="cellIs" dxfId="186" priority="3341" operator="between">
      <formula>4000</formula>
      <formula>4499</formula>
    </cfRule>
    <cfRule type="cellIs" dxfId="185" priority="3342" operator="between">
      <formula>3500</formula>
      <formula>3999</formula>
    </cfRule>
    <cfRule type="cellIs" dxfId="184" priority="3343" operator="between">
      <formula>3000</formula>
      <formula>3499</formula>
    </cfRule>
    <cfRule type="cellIs" dxfId="183" priority="3344" operator="between">
      <formula>2000</formula>
      <formula>2999</formula>
    </cfRule>
    <cfRule type="cellIs" dxfId="182" priority="3345" operator="between">
      <formula>1</formula>
      <formula>1999</formula>
    </cfRule>
    <cfRule type="cellIs" dxfId="181" priority="3346" operator="between">
      <formula>2000</formula>
      <formula>2999</formula>
    </cfRule>
  </conditionalFormatting>
  <conditionalFormatting sqref="B43">
    <cfRule type="containsText" dxfId="180" priority="3321" operator="containsText" text="хранение">
      <formula>NOT(ISERROR(SEARCH("хранение",B43)))</formula>
    </cfRule>
  </conditionalFormatting>
  <conditionalFormatting sqref="H44">
    <cfRule type="containsText" dxfId="179" priority="3319" operator="containsText" text="хранение">
      <formula>NOT(ISERROR(SEARCH("хранение",H44)))</formula>
    </cfRule>
  </conditionalFormatting>
  <conditionalFormatting sqref="H44">
    <cfRule type="containsText" dxfId="178" priority="3318" operator="containsText" text="продление">
      <formula>NOT(ISERROR(SEARCH("продление",H44)))</formula>
    </cfRule>
  </conditionalFormatting>
  <conditionalFormatting sqref="H4">
    <cfRule type="containsText" dxfId="177" priority="3032" operator="containsText" text="хранение">
      <formula>NOT(ISERROR(SEARCH("хранение",H4)))</formula>
    </cfRule>
  </conditionalFormatting>
  <conditionalFormatting sqref="H4">
    <cfRule type="containsText" dxfId="176" priority="3031" operator="containsText" text="продление">
      <formula>NOT(ISERROR(SEARCH("продление",H4)))</formula>
    </cfRule>
  </conditionalFormatting>
  <conditionalFormatting sqref="H4">
    <cfRule type="containsText" dxfId="175" priority="3034" operator="containsText" text="хранение">
      <formula>NOT(ISERROR(SEARCH("хранение",H4)))</formula>
    </cfRule>
  </conditionalFormatting>
  <conditionalFormatting sqref="H4">
    <cfRule type="containsText" dxfId="174" priority="3033" operator="containsText" text="продление">
      <formula>NOT(ISERROR(SEARCH("продление",H4)))</formula>
    </cfRule>
  </conditionalFormatting>
  <conditionalFormatting sqref="H4">
    <cfRule type="containsText" dxfId="173" priority="3036" operator="containsText" text="хранение">
      <formula>NOT(ISERROR(SEARCH("хранение",H4)))</formula>
    </cfRule>
  </conditionalFormatting>
  <conditionalFormatting sqref="H4">
    <cfRule type="containsText" dxfId="172" priority="3035" operator="containsText" text="продление">
      <formula>NOT(ISERROR(SEARCH("продление",H4)))</formula>
    </cfRule>
  </conditionalFormatting>
  <conditionalFormatting sqref="H6:H7">
    <cfRule type="containsText" dxfId="171" priority="3040" operator="containsText" text="хранение">
      <formula>NOT(ISERROR(SEARCH("хранение",H6)))</formula>
    </cfRule>
  </conditionalFormatting>
  <conditionalFormatting sqref="H6:H7">
    <cfRule type="containsText" dxfId="170" priority="3039" operator="containsText" text="продление">
      <formula>NOT(ISERROR(SEARCH("продление",H6)))</formula>
    </cfRule>
  </conditionalFormatting>
  <conditionalFormatting sqref="H4">
    <cfRule type="containsText" dxfId="169" priority="3038" operator="containsText" text="хранение">
      <formula>NOT(ISERROR(SEARCH("хранение",H4)))</formula>
    </cfRule>
  </conditionalFormatting>
  <conditionalFormatting sqref="H4">
    <cfRule type="containsText" dxfId="168" priority="3037" operator="containsText" text="продление">
      <formula>NOT(ISERROR(SEARCH("продление",H4)))</formula>
    </cfRule>
  </conditionalFormatting>
  <conditionalFormatting sqref="A42 C42:D42 L42:XFD42">
    <cfRule type="containsText" dxfId="167" priority="2761" operator="containsText" text="хранение">
      <formula>NOT(ISERROR(SEARCH("хранение",A42)))</formula>
    </cfRule>
  </conditionalFormatting>
  <conditionalFormatting sqref="F42">
    <cfRule type="cellIs" dxfId="166" priority="2760" operator="between">
      <formula>0</formula>
      <formula>1999</formula>
    </cfRule>
  </conditionalFormatting>
  <conditionalFormatting sqref="F42">
    <cfRule type="cellIs" dxfId="165" priority="2753" operator="equal">
      <formula>4500</formula>
    </cfRule>
    <cfRule type="cellIs" dxfId="164" priority="2754" operator="between">
      <formula>4000</formula>
      <formula>4499</formula>
    </cfRule>
    <cfRule type="cellIs" dxfId="163" priority="2755" operator="between">
      <formula>3500</formula>
      <formula>3999</formula>
    </cfRule>
    <cfRule type="cellIs" dxfId="162" priority="2756" operator="between">
      <formula>3000</formula>
      <formula>3499</formula>
    </cfRule>
    <cfRule type="cellIs" dxfId="161" priority="2757" operator="between">
      <formula>2000</formula>
      <formula>2999</formula>
    </cfRule>
    <cfRule type="cellIs" dxfId="160" priority="2758" operator="between">
      <formula>1</formula>
      <formula>1999</formula>
    </cfRule>
    <cfRule type="cellIs" dxfId="159" priority="2759" operator="between">
      <formula>2000</formula>
      <formula>2999</formula>
    </cfRule>
  </conditionalFormatting>
  <conditionalFormatting sqref="B42">
    <cfRule type="containsText" dxfId="158" priority="2742" operator="containsText" text="хранение">
      <formula>NOT(ISERROR(SEARCH("хранение",B42)))</formula>
    </cfRule>
  </conditionalFormatting>
  <conditionalFormatting sqref="A57">
    <cfRule type="containsText" dxfId="157" priority="2679" operator="containsText" text="хранение">
      <formula>NOT(ISERROR(SEARCH("хранение",A57)))</formula>
    </cfRule>
  </conditionalFormatting>
  <conditionalFormatting sqref="A61">
    <cfRule type="containsText" dxfId="156" priority="2658" operator="containsText" text="хранение">
      <formula>NOT(ISERROR(SEARCH("хранение",A61)))</formula>
    </cfRule>
  </conditionalFormatting>
  <conditionalFormatting sqref="A60">
    <cfRule type="containsText" dxfId="155" priority="2675" operator="containsText" text="хранение">
      <formula>NOT(ISERROR(SEARCH("хранение",A60)))</formula>
    </cfRule>
  </conditionalFormatting>
  <conditionalFormatting sqref="A63:B63 D63 L63:XFD63">
    <cfRule type="containsText" dxfId="154" priority="2587" operator="containsText" text="хранение">
      <formula>NOT(ISERROR(SEARCH("хранение",A63)))</formula>
    </cfRule>
  </conditionalFormatting>
  <conditionalFormatting sqref="F63">
    <cfRule type="cellIs" dxfId="153" priority="2586" operator="between">
      <formula>0</formula>
      <formula>1999</formula>
    </cfRule>
  </conditionalFormatting>
  <conditionalFormatting sqref="F63">
    <cfRule type="cellIs" dxfId="152" priority="2579" operator="equal">
      <formula>4500</formula>
    </cfRule>
    <cfRule type="cellIs" dxfId="151" priority="2580" operator="between">
      <formula>4000</formula>
      <formula>4499</formula>
    </cfRule>
    <cfRule type="cellIs" dxfId="150" priority="2581" operator="between">
      <formula>3500</formula>
      <formula>3999</formula>
    </cfRule>
    <cfRule type="cellIs" dxfId="149" priority="2582" operator="between">
      <formula>3000</formula>
      <formula>3499</formula>
    </cfRule>
    <cfRule type="cellIs" dxfId="148" priority="2583" operator="between">
      <formula>2000</formula>
      <formula>2999</formula>
    </cfRule>
    <cfRule type="cellIs" dxfId="147" priority="2584" operator="between">
      <formula>1</formula>
      <formula>1999</formula>
    </cfRule>
    <cfRule type="cellIs" dxfId="146" priority="2585" operator="between">
      <formula>2000</formula>
      <formula>2999</formula>
    </cfRule>
  </conditionalFormatting>
  <conditionalFormatting sqref="H63">
    <cfRule type="containsText" dxfId="145" priority="2564" operator="containsText" text="хранение">
      <formula>NOT(ISERROR(SEARCH("хранение",H63)))</formula>
    </cfRule>
  </conditionalFormatting>
  <conditionalFormatting sqref="H63">
    <cfRule type="containsText" dxfId="144" priority="2563" operator="containsText" text="продление">
      <formula>NOT(ISERROR(SEARCH("продление",H63)))</formula>
    </cfRule>
  </conditionalFormatting>
  <conditionalFormatting sqref="C62:C63">
    <cfRule type="containsText" dxfId="143" priority="2540" operator="containsText" text="хранение">
      <formula>NOT(ISERROR(SEARCH("хранение",C62)))</formula>
    </cfRule>
  </conditionalFormatting>
  <conditionalFormatting sqref="A64:B64 L64:XFD64">
    <cfRule type="containsText" dxfId="142" priority="2439" operator="containsText" text="хранение">
      <formula>NOT(ISERROR(SEARCH("хранение",A64)))</formula>
    </cfRule>
  </conditionalFormatting>
  <conditionalFormatting sqref="F64">
    <cfRule type="cellIs" dxfId="141" priority="2438" operator="between">
      <formula>0</formula>
      <formula>1999</formula>
    </cfRule>
  </conditionalFormatting>
  <conditionalFormatting sqref="F64">
    <cfRule type="cellIs" dxfId="140" priority="2431" operator="equal">
      <formula>4500</formula>
    </cfRule>
    <cfRule type="cellIs" dxfId="139" priority="2432" operator="between">
      <formula>4000</formula>
      <formula>4499</formula>
    </cfRule>
    <cfRule type="cellIs" dxfId="138" priority="2433" operator="between">
      <formula>3500</formula>
      <formula>3999</formula>
    </cfRule>
    <cfRule type="cellIs" dxfId="137" priority="2434" operator="between">
      <formula>3000</formula>
      <formula>3499</formula>
    </cfRule>
    <cfRule type="cellIs" dxfId="136" priority="2435" operator="between">
      <formula>2000</formula>
      <formula>2999</formula>
    </cfRule>
    <cfRule type="cellIs" dxfId="135" priority="2436" operator="between">
      <formula>1</formula>
      <formula>1999</formula>
    </cfRule>
    <cfRule type="cellIs" dxfId="134" priority="2437" operator="between">
      <formula>2000</formula>
      <formula>2999</formula>
    </cfRule>
  </conditionalFormatting>
  <conditionalFormatting sqref="H64">
    <cfRule type="containsText" dxfId="133" priority="2421" operator="containsText" text="хранение">
      <formula>NOT(ISERROR(SEARCH("хранение",H64)))</formula>
    </cfRule>
  </conditionalFormatting>
  <conditionalFormatting sqref="H64">
    <cfRule type="containsText" dxfId="132" priority="2420" operator="containsText" text="продление">
      <formula>NOT(ISERROR(SEARCH("продление",H64)))</formula>
    </cfRule>
  </conditionalFormatting>
  <conditionalFormatting sqref="C64">
    <cfRule type="containsText" dxfId="131" priority="2419" operator="containsText" text="хранение">
      <formula>NOT(ISERROR(SEARCH("хранение",C64)))</formula>
    </cfRule>
  </conditionalFormatting>
  <conditionalFormatting sqref="A65:B65 L65:XFD65">
    <cfRule type="containsText" dxfId="130" priority="2134" operator="containsText" text="хранение">
      <formula>NOT(ISERROR(SEARCH("хранение",A65)))</formula>
    </cfRule>
  </conditionalFormatting>
  <conditionalFormatting sqref="F65">
    <cfRule type="cellIs" dxfId="129" priority="2133" operator="between">
      <formula>0</formula>
      <formula>1999</formula>
    </cfRule>
  </conditionalFormatting>
  <conditionalFormatting sqref="F65">
    <cfRule type="cellIs" dxfId="128" priority="2126" operator="equal">
      <formula>4500</formula>
    </cfRule>
    <cfRule type="cellIs" dxfId="127" priority="2127" operator="between">
      <formula>4000</formula>
      <formula>4499</formula>
    </cfRule>
    <cfRule type="cellIs" dxfId="126" priority="2128" operator="between">
      <formula>3500</formula>
      <formula>3999</formula>
    </cfRule>
    <cfRule type="cellIs" dxfId="125" priority="2129" operator="between">
      <formula>3000</formula>
      <formula>3499</formula>
    </cfRule>
    <cfRule type="cellIs" dxfId="124" priority="2130" operator="between">
      <formula>2000</formula>
      <formula>2999</formula>
    </cfRule>
    <cfRule type="cellIs" dxfId="123" priority="2131" operator="between">
      <formula>1</formula>
      <formula>1999</formula>
    </cfRule>
    <cfRule type="cellIs" dxfId="122" priority="2132" operator="between">
      <formula>2000</formula>
      <formula>2999</formula>
    </cfRule>
  </conditionalFormatting>
  <conditionalFormatting sqref="H65">
    <cfRule type="containsText" dxfId="121" priority="2116" operator="containsText" text="хранение">
      <formula>NOT(ISERROR(SEARCH("хранение",H65)))</formula>
    </cfRule>
  </conditionalFormatting>
  <conditionalFormatting sqref="H65">
    <cfRule type="containsText" dxfId="120" priority="2115" operator="containsText" text="продление">
      <formula>NOT(ISERROR(SEARCH("продление",H65)))</formula>
    </cfRule>
  </conditionalFormatting>
  <conditionalFormatting sqref="C65">
    <cfRule type="containsText" dxfId="119" priority="2114" operator="containsText" text="хранение">
      <formula>NOT(ISERROR(SEARCH("хранение",C65)))</formula>
    </cfRule>
  </conditionalFormatting>
  <conditionalFormatting sqref="A66:B66 L66:XFD66">
    <cfRule type="containsText" dxfId="118" priority="2000" operator="containsText" text="хранение">
      <formula>NOT(ISERROR(SEARCH("хранение",A66)))</formula>
    </cfRule>
  </conditionalFormatting>
  <conditionalFormatting sqref="F66">
    <cfRule type="cellIs" dxfId="117" priority="1999" operator="between">
      <formula>0</formula>
      <formula>1999</formula>
    </cfRule>
  </conditionalFormatting>
  <conditionalFormatting sqref="F66">
    <cfRule type="cellIs" dxfId="116" priority="1992" operator="equal">
      <formula>4500</formula>
    </cfRule>
    <cfRule type="cellIs" dxfId="115" priority="1993" operator="between">
      <formula>4000</formula>
      <formula>4499</formula>
    </cfRule>
    <cfRule type="cellIs" dxfId="114" priority="1994" operator="between">
      <formula>3500</formula>
      <formula>3999</formula>
    </cfRule>
    <cfRule type="cellIs" dxfId="113" priority="1995" operator="between">
      <formula>3000</formula>
      <formula>3499</formula>
    </cfRule>
    <cfRule type="cellIs" dxfId="112" priority="1996" operator="between">
      <formula>2000</formula>
      <formula>2999</formula>
    </cfRule>
    <cfRule type="cellIs" dxfId="111" priority="1997" operator="between">
      <formula>1</formula>
      <formula>1999</formula>
    </cfRule>
    <cfRule type="cellIs" dxfId="110" priority="1998" operator="between">
      <formula>2000</formula>
      <formula>2999</formula>
    </cfRule>
  </conditionalFormatting>
  <conditionalFormatting sqref="H66">
    <cfRule type="containsText" dxfId="109" priority="1984" operator="containsText" text="хранение">
      <formula>NOT(ISERROR(SEARCH("хранение",H66)))</formula>
    </cfRule>
  </conditionalFormatting>
  <conditionalFormatting sqref="H66">
    <cfRule type="containsText" dxfId="108" priority="1983" operator="containsText" text="продление">
      <formula>NOT(ISERROR(SEARCH("продление",H66)))</formula>
    </cfRule>
  </conditionalFormatting>
  <conditionalFormatting sqref="A67:B67 L67:XFD67">
    <cfRule type="containsText" dxfId="107" priority="1877" operator="containsText" text="хранение">
      <formula>NOT(ISERROR(SEARCH("хранение",A67)))</formula>
    </cfRule>
  </conditionalFormatting>
  <conditionalFormatting sqref="F67">
    <cfRule type="cellIs" dxfId="106" priority="1876" operator="between">
      <formula>0</formula>
      <formula>1999</formula>
    </cfRule>
  </conditionalFormatting>
  <conditionalFormatting sqref="F67">
    <cfRule type="cellIs" dxfId="105" priority="1869" operator="equal">
      <formula>4500</formula>
    </cfRule>
    <cfRule type="cellIs" dxfId="104" priority="1870" operator="between">
      <formula>4000</formula>
      <formula>4499</formula>
    </cfRule>
    <cfRule type="cellIs" dxfId="103" priority="1871" operator="between">
      <formula>3500</formula>
      <formula>3999</formula>
    </cfRule>
    <cfRule type="cellIs" dxfId="102" priority="1872" operator="between">
      <formula>3000</formula>
      <formula>3499</formula>
    </cfRule>
    <cfRule type="cellIs" dxfId="101" priority="1873" operator="between">
      <formula>2000</formula>
      <formula>2999</formula>
    </cfRule>
    <cfRule type="cellIs" dxfId="100" priority="1874" operator="between">
      <formula>1</formula>
      <formula>1999</formula>
    </cfRule>
    <cfRule type="cellIs" dxfId="99" priority="1875" operator="between">
      <formula>2000</formula>
      <formula>2999</formula>
    </cfRule>
  </conditionalFormatting>
  <conditionalFormatting sqref="H67">
    <cfRule type="containsText" dxfId="98" priority="1861" operator="containsText" text="хранение">
      <formula>NOT(ISERROR(SEARCH("хранение",H67)))</formula>
    </cfRule>
  </conditionalFormatting>
  <conditionalFormatting sqref="H67">
    <cfRule type="containsText" dxfId="97" priority="1860" operator="containsText" text="продление">
      <formula>NOT(ISERROR(SEARCH("продление",H67)))</formula>
    </cfRule>
  </conditionalFormatting>
  <conditionalFormatting sqref="C67">
    <cfRule type="containsText" dxfId="96" priority="1859" operator="containsText" text="хранение">
      <formula>NOT(ISERROR(SEARCH("хранение",C67)))</formula>
    </cfRule>
  </conditionalFormatting>
  <conditionalFormatting sqref="I3:I4">
    <cfRule type="containsText" dxfId="95" priority="1791" operator="containsText" text="хранение">
      <formula>NOT(ISERROR(SEARCH("хранение",I3)))</formula>
    </cfRule>
  </conditionalFormatting>
  <conditionalFormatting sqref="D64">
    <cfRule type="containsText" dxfId="94" priority="1628" operator="containsText" text="хранение">
      <formula>NOT(ISERROR(SEARCH("хранение",D64)))</formula>
    </cfRule>
  </conditionalFormatting>
  <conditionalFormatting sqref="D65">
    <cfRule type="containsText" dxfId="93" priority="1627" operator="containsText" text="хранение">
      <formula>NOT(ISERROR(SEARCH("хранение",D65)))</formula>
    </cfRule>
  </conditionalFormatting>
  <conditionalFormatting sqref="D66">
    <cfRule type="containsText" dxfId="92" priority="1626" operator="containsText" text="хранение">
      <formula>NOT(ISERROR(SEARCH("хранение",D66)))</formula>
    </cfRule>
  </conditionalFormatting>
  <conditionalFormatting sqref="D67">
    <cfRule type="containsText" dxfId="91" priority="1624" operator="containsText" text="хранение">
      <formula>NOT(ISERROR(SEARCH("хранение",D67)))</formula>
    </cfRule>
  </conditionalFormatting>
  <conditionalFormatting sqref="H9">
    <cfRule type="containsText" dxfId="90" priority="1617" operator="containsText" text="хранение">
      <formula>NOT(ISERROR(SEARCH("хранение",H9)))</formula>
    </cfRule>
  </conditionalFormatting>
  <conditionalFormatting sqref="H9">
    <cfRule type="containsText" dxfId="89" priority="1616" operator="containsText" text="продление">
      <formula>NOT(ISERROR(SEARCH("продление",H9)))</formula>
    </cfRule>
  </conditionalFormatting>
  <conditionalFormatting sqref="H9">
    <cfRule type="containsText" dxfId="88" priority="1619" operator="containsText" text="хранение">
      <formula>NOT(ISERROR(SEARCH("хранение",H9)))</formula>
    </cfRule>
  </conditionalFormatting>
  <conditionalFormatting sqref="H9">
    <cfRule type="containsText" dxfId="87" priority="1618" operator="containsText" text="продление">
      <formula>NOT(ISERROR(SEARCH("продление",H9)))</formula>
    </cfRule>
  </conditionalFormatting>
  <conditionalFormatting sqref="H9">
    <cfRule type="containsText" dxfId="86" priority="1621" operator="containsText" text="хранение">
      <formula>NOT(ISERROR(SEARCH("хранение",H9)))</formula>
    </cfRule>
  </conditionalFormatting>
  <conditionalFormatting sqref="H9">
    <cfRule type="containsText" dxfId="85" priority="1620" operator="containsText" text="продление">
      <formula>NOT(ISERROR(SEARCH("продление",H9)))</formula>
    </cfRule>
  </conditionalFormatting>
  <conditionalFormatting sqref="H9">
    <cfRule type="containsText" dxfId="84" priority="1623" operator="containsText" text="хранение">
      <formula>NOT(ISERROR(SEARCH("хранение",H9)))</formula>
    </cfRule>
  </conditionalFormatting>
  <conditionalFormatting sqref="H9">
    <cfRule type="containsText" dxfId="83" priority="1622" operator="containsText" text="продление">
      <formula>NOT(ISERROR(SEARCH("продление",H9)))</formula>
    </cfRule>
  </conditionalFormatting>
  <conditionalFormatting sqref="G68">
    <cfRule type="containsText" dxfId="82" priority="1551" operator="containsText" text="хранение">
      <formula>NOT(ISERROR(SEARCH("хранение",G68)))</formula>
    </cfRule>
  </conditionalFormatting>
  <conditionalFormatting sqref="A68:B68 L68:XFD68">
    <cfRule type="containsText" dxfId="81" priority="1544" operator="containsText" text="хранение">
      <formula>NOT(ISERROR(SEARCH("хранение",A68)))</formula>
    </cfRule>
  </conditionalFormatting>
  <conditionalFormatting sqref="F68">
    <cfRule type="cellIs" dxfId="80" priority="1543" operator="between">
      <formula>0</formula>
      <formula>1999</formula>
    </cfRule>
  </conditionalFormatting>
  <conditionalFormatting sqref="F68">
    <cfRule type="cellIs" dxfId="79" priority="1536" operator="equal">
      <formula>4500</formula>
    </cfRule>
    <cfRule type="cellIs" dxfId="78" priority="1537" operator="between">
      <formula>4000</formula>
      <formula>4499</formula>
    </cfRule>
    <cfRule type="cellIs" dxfId="77" priority="1538" operator="between">
      <formula>3500</formula>
      <formula>3999</formula>
    </cfRule>
    <cfRule type="cellIs" dxfId="76" priority="1539" operator="between">
      <formula>3000</formula>
      <formula>3499</formula>
    </cfRule>
    <cfRule type="cellIs" dxfId="75" priority="1540" operator="between">
      <formula>2000</formula>
      <formula>2999</formula>
    </cfRule>
    <cfRule type="cellIs" dxfId="74" priority="1541" operator="between">
      <formula>1</formula>
      <formula>1999</formula>
    </cfRule>
    <cfRule type="cellIs" dxfId="73" priority="1542" operator="between">
      <formula>2000</formula>
      <formula>2999</formula>
    </cfRule>
  </conditionalFormatting>
  <conditionalFormatting sqref="H68">
    <cfRule type="containsText" dxfId="72" priority="1535" operator="containsText" text="хранение">
      <formula>NOT(ISERROR(SEARCH("хранение",H68)))</formula>
    </cfRule>
  </conditionalFormatting>
  <conditionalFormatting sqref="H68">
    <cfRule type="containsText" dxfId="71" priority="1534" operator="containsText" text="продление">
      <formula>NOT(ISERROR(SEARCH("продление",H68)))</formula>
    </cfRule>
  </conditionalFormatting>
  <conditionalFormatting sqref="C68">
    <cfRule type="containsText" dxfId="70" priority="1533" operator="containsText" text="хранение">
      <formula>NOT(ISERROR(SEARCH("хранение",C68)))</formula>
    </cfRule>
  </conditionalFormatting>
  <conditionalFormatting sqref="I68">
    <cfRule type="containsText" dxfId="69" priority="1499" operator="containsText" text="хранение">
      <formula>NOT(ISERROR(SEARCH("хранение",I68)))</formula>
    </cfRule>
  </conditionalFormatting>
  <conditionalFormatting sqref="G69">
    <cfRule type="containsText" dxfId="68" priority="1497" operator="containsText" text="хранение">
      <formula>NOT(ISERROR(SEARCH("хранение",G69)))</formula>
    </cfRule>
  </conditionalFormatting>
  <conditionalFormatting sqref="A69:B69 L69:XFD69">
    <cfRule type="containsText" dxfId="67" priority="1490" operator="containsText" text="хранение">
      <formula>NOT(ISERROR(SEARCH("хранение",A69)))</formula>
    </cfRule>
  </conditionalFormatting>
  <conditionalFormatting sqref="F69:F70">
    <cfRule type="cellIs" dxfId="66" priority="1489" operator="between">
      <formula>0</formula>
      <formula>1999</formula>
    </cfRule>
  </conditionalFormatting>
  <conditionalFormatting sqref="F69:F70">
    <cfRule type="cellIs" dxfId="65" priority="1482" operator="equal">
      <formula>4500</formula>
    </cfRule>
    <cfRule type="cellIs" dxfId="64" priority="1483" operator="between">
      <formula>4000</formula>
      <formula>4499</formula>
    </cfRule>
    <cfRule type="cellIs" dxfId="63" priority="1484" operator="between">
      <formula>3500</formula>
      <formula>3999</formula>
    </cfRule>
    <cfRule type="cellIs" dxfId="62" priority="1485" operator="between">
      <formula>3000</formula>
      <formula>3499</formula>
    </cfRule>
    <cfRule type="cellIs" dxfId="61" priority="1486" operator="between">
      <formula>2000</formula>
      <formula>2999</formula>
    </cfRule>
    <cfRule type="cellIs" dxfId="60" priority="1487" operator="between">
      <formula>1</formula>
      <formula>1999</formula>
    </cfRule>
    <cfRule type="cellIs" dxfId="59" priority="1488" operator="between">
      <formula>2000</formula>
      <formula>2999</formula>
    </cfRule>
  </conditionalFormatting>
  <conditionalFormatting sqref="H69">
    <cfRule type="containsText" dxfId="58" priority="1481" operator="containsText" text="хранение">
      <formula>NOT(ISERROR(SEARCH("хранение",H69)))</formula>
    </cfRule>
  </conditionalFormatting>
  <conditionalFormatting sqref="H69">
    <cfRule type="containsText" dxfId="57" priority="1480" operator="containsText" text="продление">
      <formula>NOT(ISERROR(SEARCH("продление",H69)))</formula>
    </cfRule>
  </conditionalFormatting>
  <conditionalFormatting sqref="C69">
    <cfRule type="containsText" dxfId="56" priority="1479" operator="containsText" text="хранение">
      <formula>NOT(ISERROR(SEARCH("хранение",C69)))</formula>
    </cfRule>
  </conditionalFormatting>
  <conditionalFormatting sqref="I69">
    <cfRule type="containsText" dxfId="55" priority="1445" operator="containsText" text="хранение">
      <formula>NOT(ISERROR(SEARCH("хранение",I69)))</formula>
    </cfRule>
  </conditionalFormatting>
  <conditionalFormatting sqref="G70">
    <cfRule type="containsText" dxfId="54" priority="1443" operator="containsText" text="хранение">
      <formula>NOT(ISERROR(SEARCH("хранение",G70)))</formula>
    </cfRule>
  </conditionalFormatting>
  <conditionalFormatting sqref="B70 L70:XFD70">
    <cfRule type="containsText" dxfId="53" priority="1436" operator="containsText" text="хранение">
      <formula>NOT(ISERROR(SEARCH("хранение",B70)))</formula>
    </cfRule>
  </conditionalFormatting>
  <conditionalFormatting sqref="H70">
    <cfRule type="containsText" dxfId="52" priority="1427" operator="containsText" text="хранение">
      <formula>NOT(ISERROR(SEARCH("хранение",H70)))</formula>
    </cfRule>
  </conditionalFormatting>
  <conditionalFormatting sqref="H70">
    <cfRule type="containsText" dxfId="51" priority="1426" operator="containsText" text="продление">
      <formula>NOT(ISERROR(SEARCH("продление",H70)))</formula>
    </cfRule>
  </conditionalFormatting>
  <conditionalFormatting sqref="C70">
    <cfRule type="containsText" dxfId="50" priority="1425" operator="containsText" text="хранение">
      <formula>NOT(ISERROR(SEARCH("хранение",C70)))</formula>
    </cfRule>
  </conditionalFormatting>
  <conditionalFormatting sqref="I70">
    <cfRule type="containsText" dxfId="49" priority="1391" operator="containsText" text="хранение">
      <formula>NOT(ISERROR(SEARCH("хранение",I70)))</formula>
    </cfRule>
  </conditionalFormatting>
  <conditionalFormatting sqref="K32">
    <cfRule type="containsText" dxfId="48" priority="1343" operator="containsText" text="хранение">
      <formula>NOT(ISERROR(SEARCH("хранение",K32)))</formula>
    </cfRule>
  </conditionalFormatting>
  <conditionalFormatting sqref="K32">
    <cfRule type="containsText" dxfId="47" priority="1342" operator="containsText" text="продление">
      <formula>NOT(ISERROR(SEARCH("продление",K32)))</formula>
    </cfRule>
  </conditionalFormatting>
  <conditionalFormatting sqref="K9:K16 J9:J70 J8:K8">
    <cfRule type="cellIs" dxfId="46" priority="1245" operator="greaterThan">
      <formula>4495</formula>
    </cfRule>
    <cfRule type="containsText" dxfId="45" priority="1246" operator="containsText" text="хранение">
      <formula>NOT(ISERROR(SEARCH("хранение",J8)))</formula>
    </cfRule>
  </conditionalFormatting>
  <conditionalFormatting sqref="E57">
    <cfRule type="containsText" dxfId="44" priority="1199" operator="containsText" text="хранение">
      <formula>NOT(ISERROR(SEARCH("хранение",E57)))</formula>
    </cfRule>
  </conditionalFormatting>
  <conditionalFormatting sqref="E21">
    <cfRule type="containsText" dxfId="43" priority="1193" operator="containsText" text="хранение">
      <formula>NOT(ISERROR(SEARCH("хранение",E21)))</formula>
    </cfRule>
  </conditionalFormatting>
  <conditionalFormatting sqref="E53:E55 E45:E48">
    <cfRule type="containsText" dxfId="42" priority="1201" operator="containsText" text="хранение">
      <formula>NOT(ISERROR(SEARCH("хранение",E45)))</formula>
    </cfRule>
  </conditionalFormatting>
  <conditionalFormatting sqref="E49">
    <cfRule type="containsText" dxfId="41" priority="1200" operator="containsText" text="хранение">
      <formula>NOT(ISERROR(SEARCH("хранение",E49)))</formula>
    </cfRule>
  </conditionalFormatting>
  <conditionalFormatting sqref="E56">
    <cfRule type="containsText" dxfId="40" priority="1198" operator="containsText" text="хранение">
      <formula>NOT(ISERROR(SEARCH("хранение",E56)))</formula>
    </cfRule>
  </conditionalFormatting>
  <conditionalFormatting sqref="E52">
    <cfRule type="containsText" dxfId="39" priority="1197" operator="containsText" text="хранение">
      <formula>NOT(ISERROR(SEARCH("хранение",E52)))</formula>
    </cfRule>
  </conditionalFormatting>
  <conditionalFormatting sqref="E59">
    <cfRule type="containsText" dxfId="38" priority="1196" operator="containsText" text="хранение">
      <formula>NOT(ISERROR(SEARCH("хранение",E59)))</formula>
    </cfRule>
  </conditionalFormatting>
  <conditionalFormatting sqref="E60">
    <cfRule type="containsText" dxfId="37" priority="1195" operator="containsText" text="хранение">
      <formula>NOT(ISERROR(SEARCH("хранение",E60)))</formula>
    </cfRule>
  </conditionalFormatting>
  <conditionalFormatting sqref="E58">
    <cfRule type="containsText" dxfId="36" priority="1194" operator="containsText" text="хранение">
      <formula>NOT(ISERROR(SEARCH("хранение",E58)))</formula>
    </cfRule>
  </conditionalFormatting>
  <conditionalFormatting sqref="E20">
    <cfRule type="containsText" dxfId="35" priority="1192" operator="containsText" text="хранение">
      <formula>NOT(ISERROR(SEARCH("хранение",E20)))</formula>
    </cfRule>
  </conditionalFormatting>
  <conditionalFormatting sqref="E61">
    <cfRule type="containsText" dxfId="34" priority="1191" operator="containsText" text="хранение">
      <formula>NOT(ISERROR(SEARCH("хранение",E61)))</formula>
    </cfRule>
  </conditionalFormatting>
  <conditionalFormatting sqref="E62">
    <cfRule type="containsText" dxfId="33" priority="1190" operator="containsText" text="хранение">
      <formula>NOT(ISERROR(SEARCH("хранение",E62)))</formula>
    </cfRule>
  </conditionalFormatting>
  <conditionalFormatting sqref="E51">
    <cfRule type="containsText" dxfId="32" priority="1189" operator="containsText" text="хранение">
      <formula>NOT(ISERROR(SEARCH("хранение",E51)))</formula>
    </cfRule>
  </conditionalFormatting>
  <conditionalFormatting sqref="E50">
    <cfRule type="containsText" dxfId="31" priority="1188" operator="containsText" text="хранение">
      <formula>NOT(ISERROR(SEARCH("хранение",E50)))</formula>
    </cfRule>
  </conditionalFormatting>
  <conditionalFormatting sqref="E44">
    <cfRule type="containsText" dxfId="30" priority="1187" operator="containsText" text="хранение">
      <formula>NOT(ISERROR(SEARCH("хранение",E44)))</formula>
    </cfRule>
  </conditionalFormatting>
  <conditionalFormatting sqref="E43">
    <cfRule type="containsText" dxfId="29" priority="1186" operator="containsText" text="хранение">
      <formula>NOT(ISERROR(SEARCH("хранение",E43)))</formula>
    </cfRule>
  </conditionalFormatting>
  <conditionalFormatting sqref="E42">
    <cfRule type="containsText" dxfId="28" priority="1185" operator="containsText" text="хранение">
      <formula>NOT(ISERROR(SEARCH("хранение",E42)))</formula>
    </cfRule>
  </conditionalFormatting>
  <conditionalFormatting sqref="E63">
    <cfRule type="containsText" dxfId="27" priority="1184" operator="containsText" text="хранение">
      <formula>NOT(ISERROR(SEARCH("хранение",E63)))</formula>
    </cfRule>
  </conditionalFormatting>
  <conditionalFormatting sqref="E64">
    <cfRule type="containsText" dxfId="26" priority="1182" operator="containsText" text="хранение">
      <formula>NOT(ISERROR(SEARCH("хранение",E64)))</formula>
    </cfRule>
  </conditionalFormatting>
  <conditionalFormatting sqref="E65">
    <cfRule type="containsText" dxfId="25" priority="1181" operator="containsText" text="хранение">
      <formula>NOT(ISERROR(SEARCH("хранение",E65)))</formula>
    </cfRule>
  </conditionalFormatting>
  <conditionalFormatting sqref="E66">
    <cfRule type="containsText" dxfId="24" priority="1180" operator="containsText" text="хранение">
      <formula>NOT(ISERROR(SEARCH("хранение",E66)))</formula>
    </cfRule>
  </conditionalFormatting>
  <conditionalFormatting sqref="E67">
    <cfRule type="containsText" dxfId="23" priority="1179" operator="containsText" text="хранение">
      <formula>NOT(ISERROR(SEARCH("хранение",E67)))</formula>
    </cfRule>
  </conditionalFormatting>
  <conditionalFormatting sqref="E68">
    <cfRule type="containsText" dxfId="22" priority="1177" operator="containsText" text="хранение">
      <formula>NOT(ISERROR(SEARCH("хранение",E68)))</formula>
    </cfRule>
  </conditionalFormatting>
  <conditionalFormatting sqref="E69">
    <cfRule type="containsText" dxfId="21" priority="1176" operator="containsText" text="хранение">
      <formula>NOT(ISERROR(SEARCH("хранение",E69)))</formula>
    </cfRule>
  </conditionalFormatting>
  <conditionalFormatting sqref="E70">
    <cfRule type="containsText" dxfId="20" priority="1175" operator="containsText" text="хранение">
      <formula>NOT(ISERROR(SEARCH("хранение",E70)))</formula>
    </cfRule>
  </conditionalFormatting>
  <conditionalFormatting sqref="K64">
    <cfRule type="cellIs" dxfId="19" priority="1149" operator="greaterThan">
      <formula>4495</formula>
    </cfRule>
    <cfRule type="containsText" dxfId="18" priority="1150" operator="containsText" text="хранение">
      <formula>NOT(ISERROR(SEARCH("хранение",K64)))</formula>
    </cfRule>
  </conditionalFormatting>
  <conditionalFormatting sqref="D68">
    <cfRule type="containsText" dxfId="17" priority="1148" operator="containsText" text="хранение">
      <formula>NOT(ISERROR(SEARCH("хранение",D68)))</formula>
    </cfRule>
  </conditionalFormatting>
  <conditionalFormatting sqref="D69">
    <cfRule type="containsText" dxfId="16" priority="1147" operator="containsText" text="хранение">
      <formula>NOT(ISERROR(SEARCH("хранение",D69)))</formula>
    </cfRule>
  </conditionalFormatting>
  <conditionalFormatting sqref="D70">
    <cfRule type="containsText" dxfId="15" priority="1146" operator="containsText" text="хранение">
      <formula>NOT(ISERROR(SEARCH("хранение",D70)))</formula>
    </cfRule>
  </conditionalFormatting>
  <conditionalFormatting sqref="H16">
    <cfRule type="containsText" dxfId="14" priority="1109" operator="containsText" text="хранение">
      <formula>NOT(ISERROR(SEARCH("хранение",H16)))</formula>
    </cfRule>
  </conditionalFormatting>
  <conditionalFormatting sqref="H16">
    <cfRule type="containsText" dxfId="13" priority="1108" operator="containsText" text="продление">
      <formula>NOT(ISERROR(SEARCH("продление",H16)))</formula>
    </cfRule>
  </conditionalFormatting>
  <conditionalFormatting sqref="C21">
    <cfRule type="containsText" dxfId="12" priority="671" operator="containsText" text="хранение">
      <formula>NOT(ISERROR(SEARCH("хранение",C21)))</formula>
    </cfRule>
  </conditionalFormatting>
  <conditionalFormatting sqref="C3">
    <cfRule type="containsText" dxfId="11" priority="589" operator="containsText" text="хранение">
      <formula>NOT(ISERROR(SEARCH("хранение",C3)))</formula>
    </cfRule>
  </conditionalFormatting>
  <conditionalFormatting sqref="K17:K31">
    <cfRule type="cellIs" dxfId="10" priority="363" operator="greaterThan">
      <formula>4495</formula>
    </cfRule>
    <cfRule type="containsText" dxfId="9" priority="364" operator="containsText" text="хранение">
      <formula>NOT(ISERROR(SEARCH("хранение",K17)))</formula>
    </cfRule>
  </conditionalFormatting>
  <conditionalFormatting sqref="K33:K63">
    <cfRule type="cellIs" dxfId="8" priority="359" operator="greaterThan">
      <formula>4495</formula>
    </cfRule>
    <cfRule type="containsText" dxfId="7" priority="360" operator="containsText" text="хранение">
      <formula>NOT(ISERROR(SEARCH("хранение",K33)))</formula>
    </cfRule>
  </conditionalFormatting>
  <conditionalFormatting sqref="K65:K67">
    <cfRule type="cellIs" dxfId="6" priority="340" operator="greaterThan">
      <formula>4495</formula>
    </cfRule>
    <cfRule type="containsText" dxfId="5" priority="341" operator="containsText" text="хранение">
      <formula>NOT(ISERROR(SEARCH("хранение",K65)))</formula>
    </cfRule>
  </conditionalFormatting>
  <conditionalFormatting sqref="K68:K70">
    <cfRule type="cellIs" dxfId="4" priority="334" operator="greaterThan">
      <formula>4495</formula>
    </cfRule>
    <cfRule type="containsText" dxfId="3" priority="335" operator="containsText" text="хранение">
      <formula>NOT(ISERROR(SEARCH("хранение",K68)))</formula>
    </cfRule>
  </conditionalFormatting>
  <conditionalFormatting sqref="C66">
    <cfRule type="containsText" dxfId="2" priority="322" operator="containsText" text="хранение">
      <formula>NOT(ISERROR(SEARCH("хранение",C66)))</formula>
    </cfRule>
  </conditionalFormatting>
  <conditionalFormatting sqref="A70">
    <cfRule type="containsText" dxfId="1" priority="76" operator="containsText" text="хранение">
      <formula>NOT(ISERROR(SEARCH("хранение",A70)))</formula>
    </cfRule>
  </conditionalFormatting>
  <conditionalFormatting sqref="F1">
    <cfRule type="containsText" dxfId="0" priority="21" operator="containsText" text="продление">
      <formula>NOT(ISERROR(SEARCH("продление",F1)))</formula>
    </cfRule>
  </conditionalFormatting>
  <pageMargins left="0.25" right="0.25" top="0.75" bottom="0.75" header="0.3" footer="0.3"/>
  <pageSetup paperSize="9" scale="4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Ми17 117ВС</vt:lpstr>
      <vt:lpstr>Ми-8Т (164)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2025-09-08T07:11:12Z</dcterms:modified>
</cp:coreProperties>
</file>