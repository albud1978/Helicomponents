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filterPrivacy="1" defaultThemeVersion="124226"/>
  <xr:revisionPtr revIDLastSave="0" documentId="13_ncr:1_{05EFBC1B-8F75-470F-B361-54C2D2099DCE}" xr6:coauthVersionLast="47" xr6:coauthVersionMax="47" xr10:uidLastSave="{00000000-0000-0000-0000-000000000000}"/>
  <bookViews>
    <workbookView xWindow="-120" yWindow="-120" windowWidth="29040" windowHeight="15720" tabRatio="587" xr2:uid="{00000000-000D-0000-FFFF-FFFF00000000}"/>
  </bookViews>
  <sheets>
    <sheet name="Агрегаты" sheetId="1" r:id="rId1"/>
  </sheets>
  <definedNames>
    <definedName name="_xlnm._FilterDatabase" localSheetId="0" hidden="1">Агрегаты!$A$2:$V$39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75" i="1" l="1"/>
  <c r="S74" i="1"/>
  <c r="S73" i="1"/>
  <c r="S72" i="1"/>
  <c r="S71" i="1"/>
  <c r="S70" i="1"/>
  <c r="S69" i="1"/>
  <c r="S68" i="1"/>
</calcChain>
</file>

<file path=xl/sharedStrings.xml><?xml version="1.0" encoding="utf-8"?>
<sst xmlns="http://schemas.openxmlformats.org/spreadsheetml/2006/main" count="146" uniqueCount="132">
  <si>
    <t>Чертежный номер</t>
  </si>
  <si>
    <t>Количество установленных на ВС</t>
  </si>
  <si>
    <t>Группировка оборота</t>
  </si>
  <si>
    <t>Запрет на смену типа ВС</t>
  </si>
  <si>
    <t>Запрет совмещения ХВ</t>
  </si>
  <si>
    <t>Учет МРР 1</t>
  </si>
  <si>
    <t>НР Ми-8</t>
  </si>
  <si>
    <t>МРР Ми-8</t>
  </si>
  <si>
    <t>МРР 1 Ми-8</t>
  </si>
  <si>
    <t>НР Ми-17</t>
  </si>
  <si>
    <t>МРР Ми-17</t>
  </si>
  <si>
    <t>Правила пополнения фонда</t>
  </si>
  <si>
    <t>partno</t>
  </si>
  <si>
    <t>comp_number</t>
  </si>
  <si>
    <t>group_by</t>
  </si>
  <si>
    <t>type_restricted</t>
  </si>
  <si>
    <t>ll_mi8</t>
  </si>
  <si>
    <t>oh_mi8</t>
  </si>
  <si>
    <t>oh_threshold_mi8</t>
  </si>
  <si>
    <t>ll_mi17</t>
  </si>
  <si>
    <t>oh_mi17</t>
  </si>
  <si>
    <t>ВР-8А</t>
  </si>
  <si>
    <t>ВР-14</t>
  </si>
  <si>
    <t>SAFIR 5K/G MI</t>
  </si>
  <si>
    <t>ТА-14-130-08</t>
  </si>
  <si>
    <t>8-1930-000 СЕР.02</t>
  </si>
  <si>
    <t>8-1960-000</t>
  </si>
  <si>
    <t>8-1950-000</t>
  </si>
  <si>
    <t>8-3904-000 СЕРИЯ 06</t>
  </si>
  <si>
    <t>246-3904-000 СЕРИИ 01</t>
  </si>
  <si>
    <t>8-3922-00</t>
  </si>
  <si>
    <t>246-3925-00</t>
  </si>
  <si>
    <t>8АТ.2710.000</t>
  </si>
  <si>
    <t>КАУ-30Б</t>
  </si>
  <si>
    <t>РА-60Б</t>
  </si>
  <si>
    <t>КАУ-115АМ</t>
  </si>
  <si>
    <t>246-1517-000</t>
  </si>
  <si>
    <t>8М-1517-000</t>
  </si>
  <si>
    <t>8А-1515-000</t>
  </si>
  <si>
    <t>8М-1515-000</t>
  </si>
  <si>
    <t>8А-1516-000</t>
  </si>
  <si>
    <t>8М-1516-000</t>
  </si>
  <si>
    <t>8А-6314-00</t>
  </si>
  <si>
    <t>8АТ.6314.000</t>
  </si>
  <si>
    <t>Срок ремонта</t>
  </si>
  <si>
    <t>trigger_interval</t>
  </si>
  <si>
    <t>repair_time</t>
  </si>
  <si>
    <t xml:space="preserve">Срок разборки ВС </t>
  </si>
  <si>
    <t>Срок сборки ВС</t>
  </si>
  <si>
    <t>partout_time</t>
  </si>
  <si>
    <t>assembly_time</t>
  </si>
  <si>
    <t>Цена ремонта без НДС</t>
  </si>
  <si>
    <t>Цена покупки без НДС</t>
  </si>
  <si>
    <t>purchase_price</t>
  </si>
  <si>
    <t>repair_price</t>
  </si>
  <si>
    <t>АИ-9В</t>
  </si>
  <si>
    <t>8АТ-2710-00</t>
  </si>
  <si>
    <t>Тип ВС</t>
  </si>
  <si>
    <t>common_restricted1</t>
  </si>
  <si>
    <t>common_restricted2</t>
  </si>
  <si>
    <t>МИ-8П</t>
  </si>
  <si>
    <t>МИ-8ПС</t>
  </si>
  <si>
    <t>МИ-8ТП</t>
  </si>
  <si>
    <t xml:space="preserve">МИ-8Т
</t>
  </si>
  <si>
    <t>МИ-8МТВ</t>
  </si>
  <si>
    <t>МИ-8АМТ</t>
  </si>
  <si>
    <t>ТВ2-117А</t>
  </si>
  <si>
    <t>ТВ2-117АГ</t>
  </si>
  <si>
    <t>ТВ3-117ВМ СЕРИЯ 02</t>
  </si>
  <si>
    <t>ТВ3-117ВМ</t>
  </si>
  <si>
    <t>8А-6311-00 3 СЕР</t>
  </si>
  <si>
    <t>8А-6311-00 4 СЕР</t>
  </si>
  <si>
    <t>sne_new</t>
  </si>
  <si>
    <t>ppr_new</t>
  </si>
  <si>
    <t>ac_type_mask</t>
  </si>
  <si>
    <t>repair_number</t>
  </si>
  <si>
    <t>Объем ремонта</t>
  </si>
  <si>
    <t>8А-4101-00Б-1</t>
  </si>
  <si>
    <t>8А-4101-00Б-2</t>
  </si>
  <si>
    <t>АМОРТИЗАТОР ОСНОВНОГО ШАССИ</t>
  </si>
  <si>
    <t>8А-4201-00А</t>
  </si>
  <si>
    <t>8А-5104-200</t>
  </si>
  <si>
    <t>РЫЧАЖНАЯ АМОРТСТОЙКА ПЕРЕДНЕГО ШАССИ</t>
  </si>
  <si>
    <t>ЗАБУСТЕРНАЯ ЧАСТЬ УПР. НВ МИ-8Т,П,ПС</t>
  </si>
  <si>
    <t>8АТ-1250-00</t>
  </si>
  <si>
    <t>ГАСИТЕЛЬ ВИБРАЦИИ (опциональное оборудование)</t>
  </si>
  <si>
    <t>КРОНШТЕЙН В СБОРЕ</t>
  </si>
  <si>
    <t>8АТ-9600-700</t>
  </si>
  <si>
    <t>НАРУЖНАЯ ПОДВЕСКА (опциональное оборудование)</t>
  </si>
  <si>
    <t>8МТ-1280-100</t>
  </si>
  <si>
    <t>АГБ-3К-3С</t>
  </si>
  <si>
    <t>АВИАГОРИЗОНТ</t>
  </si>
  <si>
    <t>АГБ-96Д 6Ш2.511.018-02</t>
  </si>
  <si>
    <t>АГБ-96Д-С 6Ш2.511.018-22</t>
  </si>
  <si>
    <t>АГБ-96Р 6Ш2.511.018</t>
  </si>
  <si>
    <t>АГБ-96Р-С 6Ш2.511.018-13</t>
  </si>
  <si>
    <t>АГБ-96Р-С 6Ш2.511.018-21</t>
  </si>
  <si>
    <t>АК-50Т1 СЕРИЯ 3 14-950-390-01</t>
  </si>
  <si>
    <t>КОМПРЕССОР</t>
  </si>
  <si>
    <t>АРМ-406П ЦДКТ.462524.406-02</t>
  </si>
  <si>
    <t>АРМ-406П ЦДКТ.462524.406</t>
  </si>
  <si>
    <t>АВАРИЙНЫЙ РАДИОМАЯК</t>
  </si>
  <si>
    <t>НР-40ВА 3102</t>
  </si>
  <si>
    <t>НАСОС-РЕГУЛЯТОР</t>
  </si>
  <si>
    <t>НАСОС-РЕГУЛЯТОР (двигатель ТВ2-117)</t>
  </si>
  <si>
    <t>8АМТ.9611.000.903 (АМТ)</t>
  </si>
  <si>
    <t>ПОДВЕСКА С ВЕСОИЗМЕРИТЕЛЕМ</t>
  </si>
  <si>
    <t>8АТ-5104-405</t>
  </si>
  <si>
    <t>КРОНШТЕЙН</t>
  </si>
  <si>
    <t>8АМТ-5104-200-3-Д</t>
  </si>
  <si>
    <t>8АМТ-5104-200-Д</t>
  </si>
  <si>
    <t>ДЕТАЛИ ЗАБУСТЕРНОЙ ЧАСТИ УПРАВЛЕНИЯ</t>
  </si>
  <si>
    <t>СВ-78БА 0780859090-06</t>
  </si>
  <si>
    <t>СВ-78БА 0780859090-05</t>
  </si>
  <si>
    <t>СТАРТЕР ВОЗДУШНЫЙ</t>
  </si>
  <si>
    <t>НР-3ВМ 3184.000</t>
  </si>
  <si>
    <t>НР-3ВМ-Т 3184.000-03</t>
  </si>
  <si>
    <t>8МТ-5104-200</t>
  </si>
  <si>
    <t>-</t>
  </si>
  <si>
    <t>Два лимита</t>
  </si>
  <si>
    <t>second_ll</t>
  </si>
  <si>
    <t>8АТ.5104.305</t>
  </si>
  <si>
    <t>8АТ-5104-305</t>
  </si>
  <si>
    <t>8АТ-5104-305-3</t>
  </si>
  <si>
    <t>8А-5104-305</t>
  </si>
  <si>
    <t>8А-5104-200-Д</t>
  </si>
  <si>
    <t>НР-3ВМА-Т</t>
  </si>
  <si>
    <t>НР-3ВМА</t>
  </si>
  <si>
    <t>НР-3ВМ-Т</t>
  </si>
  <si>
    <t>8АТ-6314-00</t>
  </si>
  <si>
    <t>new</t>
  </si>
  <si>
    <t>АРМ-406Н1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</si>
</sst>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Calibri"/>
      <family val="2"/>
      <charset val="204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85">
    <xf numFmtId="0" fontId="0" fillId="0" borderId="0" xfId="0"/>
    <xf numFmtId="0" fontId="3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6" fillId="2" borderId="2" xfId="0" applyFont="1" applyFill="1" applyBorder="1" applyAlignment="1">
      <alignment horizontal="center" wrapText="1"/>
    </xf>
    <xf numFmtId="0" fontId="4" fillId="2" borderId="8" xfId="0" applyFont="1" applyFill="1" applyBorder="1" applyAlignment="1">
      <alignment vertical="center" wrapText="1"/>
    </xf>
    <xf numFmtId="0" fontId="4" fillId="2" borderId="7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4" fillId="2" borderId="6" xfId="0" applyFont="1" applyFill="1" applyBorder="1" applyAlignment="1">
      <alignment horizontal="left" vertical="center"/>
    </xf>
    <xf numFmtId="1" fontId="4" fillId="2" borderId="1" xfId="0" applyNumberFormat="1" applyFont="1" applyFill="1" applyBorder="1" applyAlignment="1">
      <alignment horizontal="center" vertical="center"/>
    </xf>
    <xf numFmtId="1" fontId="4" fillId="2" borderId="4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1" fontId="4" fillId="2" borderId="6" xfId="0" applyNumberFormat="1" applyFont="1" applyFill="1" applyBorder="1" applyAlignment="1">
      <alignment horizontal="center" vertical="center"/>
    </xf>
    <xf numFmtId="1" fontId="4" fillId="2" borderId="3" xfId="0" applyNumberFormat="1" applyFont="1" applyFill="1" applyBorder="1" applyAlignment="1">
      <alignment horizontal="center" vertical="center" wrapText="1"/>
    </xf>
    <xf numFmtId="1" fontId="4" fillId="2" borderId="5" xfId="0" applyNumberFormat="1" applyFont="1" applyFill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vertical="center" wrapText="1"/>
    </xf>
    <xf numFmtId="1" fontId="4" fillId="2" borderId="7" xfId="0" applyNumberFormat="1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8" fillId="0" borderId="4" xfId="0" applyNumberFormat="1" applyFont="1" applyBorder="1" applyAlignment="1">
      <alignment horizontal="center" vertical="center"/>
    </xf>
    <xf numFmtId="1" fontId="3" fillId="0" borderId="4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1" fontId="8" fillId="0" borderId="3" xfId="0" applyNumberFormat="1" applyFont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8" fillId="0" borderId="5" xfId="0" applyNumberFormat="1" applyFont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1" fontId="4" fillId="2" borderId="8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8" fillId="0" borderId="8" xfId="0" applyNumberFormat="1" applyFont="1" applyBorder="1" applyAlignment="1">
      <alignment horizontal="center" vertical="center"/>
    </xf>
    <xf numFmtId="0" fontId="9" fillId="2" borderId="2" xfId="0" applyFont="1" applyFill="1" applyBorder="1" applyAlignment="1">
      <alignment horizontal="center" wrapText="1"/>
    </xf>
    <xf numFmtId="0" fontId="9" fillId="2" borderId="4" xfId="0" applyFont="1" applyFill="1" applyBorder="1" applyAlignment="1">
      <alignment horizontal="center"/>
    </xf>
    <xf numFmtId="1" fontId="5" fillId="0" borderId="1" xfId="0" applyNumberFormat="1" applyFont="1" applyBorder="1" applyAlignment="1">
      <alignment horizontal="center" vertical="center"/>
    </xf>
    <xf numFmtId="1" fontId="5" fillId="0" borderId="6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3" xfId="0" applyNumberFormat="1" applyFont="1" applyBorder="1" applyAlignment="1">
      <alignment horizontal="center" vertical="center"/>
    </xf>
    <xf numFmtId="1" fontId="9" fillId="0" borderId="5" xfId="0" applyNumberFormat="1" applyFont="1" applyBorder="1" applyAlignment="1">
      <alignment horizontal="center" vertical="center"/>
    </xf>
    <xf numFmtId="1" fontId="5" fillId="0" borderId="4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5" xfId="0" applyNumberFormat="1" applyFont="1" applyBorder="1" applyAlignment="1">
      <alignment horizontal="center" vertical="center"/>
    </xf>
    <xf numFmtId="1" fontId="9" fillId="0" borderId="6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8" xfId="0" applyNumberFormat="1" applyFont="1" applyBorder="1" applyAlignment="1">
      <alignment horizontal="center" vertical="center"/>
    </xf>
    <xf numFmtId="1" fontId="5" fillId="2" borderId="6" xfId="0" applyNumberFormat="1" applyFont="1" applyFill="1" applyBorder="1" applyAlignment="1">
      <alignment horizontal="center" vertical="center"/>
    </xf>
    <xf numFmtId="1" fontId="5" fillId="2" borderId="4" xfId="0" applyNumberFormat="1" applyFont="1" applyFill="1" applyBorder="1" applyAlignment="1">
      <alignment horizontal="center" vertical="center"/>
    </xf>
    <xf numFmtId="1" fontId="5" fillId="2" borderId="3" xfId="0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7" xfId="0" applyNumberFormat="1" applyFont="1" applyFill="1" applyBorder="1" applyAlignment="1">
      <alignment horizontal="center" vertical="center"/>
    </xf>
    <xf numFmtId="0" fontId="7" fillId="0" borderId="0" xfId="0" applyFont="1"/>
    <xf numFmtId="0" fontId="3" fillId="3" borderId="13" xfId="0" applyFont="1" applyFill="1" applyBorder="1"/>
    <xf numFmtId="0" fontId="3" fillId="3" borderId="13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 vertical="center"/>
    </xf>
    <xf numFmtId="0" fontId="5" fillId="3" borderId="13" xfId="0" applyFont="1" applyFill="1" applyBorder="1"/>
    <xf numFmtId="0" fontId="5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1" fontId="8" fillId="3" borderId="4" xfId="0" applyNumberFormat="1" applyFont="1" applyFill="1" applyBorder="1" applyAlignment="1">
      <alignment horizontal="center" vertical="center"/>
    </xf>
    <xf numFmtId="1" fontId="5" fillId="3" borderId="4" xfId="0" applyNumberFormat="1" applyFont="1" applyFill="1" applyBorder="1" applyAlignment="1">
      <alignment horizontal="center" vertical="center"/>
    </xf>
    <xf numFmtId="1" fontId="3" fillId="3" borderId="13" xfId="0" applyNumberFormat="1" applyFont="1" applyFill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" fontId="5" fillId="3" borderId="0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vertical="center"/>
    </xf>
    <xf numFmtId="0" fontId="6" fillId="2" borderId="10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 wrapText="1"/>
    </xf>
  </cellXfs>
  <cellStyles count="3">
    <cellStyle name="Обычный" xfId="0" builtinId="0"/>
    <cellStyle name="Обычный 2" xfId="1" xr:uid="{00000000-0005-0000-0000-000001000000}"/>
    <cellStyle name="Обычный 3" xfId="2" xr:uid="{00000000-0005-0000-0000-000002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5"/>
  <sheetViews>
    <sheetView tabSelected="1" topLeftCell="A58" zoomScale="130" zoomScaleNormal="130" workbookViewId="0">
      <selection activeCell="B67" sqref="B67:V67"/>
    </sheetView>
  </sheetViews>
  <sheetFormatPr defaultRowHeight="15" x14ac:dyDescent="0.25"/>
  <cols>
    <col min="1" max="1" width="26.42578125" bestFit="1" customWidth="1"/>
    <col min="2" max="2" width="16.42578125" customWidth="1"/>
    <col min="3" max="3" width="13" customWidth="1"/>
    <col min="4" max="4" width="13" style="3" bestFit="1" customWidth="1"/>
    <col min="5" max="5" width="13.5703125" style="59" customWidth="1"/>
    <col min="6" max="6" width="19.5703125" style="59" bestFit="1" customWidth="1"/>
    <col min="7" max="7" width="19.5703125" style="59" customWidth="1"/>
    <col min="8" max="8" width="15.7109375" style="59" bestFit="1" customWidth="1"/>
    <col min="9" max="9" width="15.7109375" style="59" customWidth="1"/>
    <col min="10" max="10" width="14.42578125" style="3" bestFit="1" customWidth="1"/>
    <col min="11" max="11" width="15.5703125" style="3" bestFit="1" customWidth="1"/>
    <col min="12" max="12" width="15.5703125" style="3" customWidth="1"/>
    <col min="13" max="13" width="8.7109375" style="3" customWidth="1"/>
    <col min="14" max="14" width="6.7109375" style="2" bestFit="1" customWidth="1"/>
    <col min="15" max="15" width="8.28515625" bestFit="1" customWidth="1"/>
    <col min="16" max="16" width="13.42578125" style="67" bestFit="1" customWidth="1"/>
    <col min="17" max="17" width="7.5703125" bestFit="1" customWidth="1"/>
    <col min="18" max="18" width="8.7109375" style="2" bestFit="1" customWidth="1"/>
    <col min="19" max="19" width="12.5703125" style="2" bestFit="1" customWidth="1"/>
    <col min="20" max="20" width="10.5703125" style="2" bestFit="1" customWidth="1"/>
    <col min="21" max="22" width="7.7109375" style="2" bestFit="1" customWidth="1"/>
    <col min="25" max="25" width="9.5703125" customWidth="1"/>
    <col min="26" max="31" width="5.5703125" customWidth="1"/>
  </cols>
  <sheetData>
    <row r="1" spans="1:22" s="1" customFormat="1" ht="36" x14ac:dyDescent="0.2">
      <c r="A1" s="16" t="s">
        <v>0</v>
      </c>
      <c r="B1" s="16" t="s">
        <v>1</v>
      </c>
      <c r="C1" s="16" t="s">
        <v>2</v>
      </c>
      <c r="D1" s="16" t="s">
        <v>57</v>
      </c>
      <c r="E1" s="47" t="s">
        <v>3</v>
      </c>
      <c r="F1" s="82" t="s">
        <v>4</v>
      </c>
      <c r="G1" s="83"/>
      <c r="H1" s="47" t="s">
        <v>5</v>
      </c>
      <c r="I1" s="47" t="s">
        <v>119</v>
      </c>
      <c r="J1" s="16" t="s">
        <v>47</v>
      </c>
      <c r="K1" s="16" t="s">
        <v>48</v>
      </c>
      <c r="L1" s="16" t="s">
        <v>76</v>
      </c>
      <c r="M1" s="16" t="s">
        <v>44</v>
      </c>
      <c r="N1" s="16" t="s">
        <v>6</v>
      </c>
      <c r="O1" s="16" t="s">
        <v>7</v>
      </c>
      <c r="P1" s="47" t="s">
        <v>8</v>
      </c>
      <c r="Q1" s="16" t="s">
        <v>9</v>
      </c>
      <c r="R1" s="16" t="s">
        <v>10</v>
      </c>
      <c r="S1" s="16" t="s">
        <v>51</v>
      </c>
      <c r="T1" s="16" t="s">
        <v>52</v>
      </c>
      <c r="U1" s="84" t="s">
        <v>11</v>
      </c>
      <c r="V1" s="83"/>
    </row>
    <row r="2" spans="1:22" s="1" customFormat="1" ht="12" x14ac:dyDescent="0.2">
      <c r="A2" s="4" t="s">
        <v>12</v>
      </c>
      <c r="B2" s="4" t="s">
        <v>13</v>
      </c>
      <c r="C2" s="4" t="s">
        <v>14</v>
      </c>
      <c r="D2" s="4" t="s">
        <v>74</v>
      </c>
      <c r="E2" s="48" t="s">
        <v>15</v>
      </c>
      <c r="F2" s="48" t="s">
        <v>58</v>
      </c>
      <c r="G2" s="48" t="s">
        <v>59</v>
      </c>
      <c r="H2" s="48" t="s">
        <v>45</v>
      </c>
      <c r="I2" s="48" t="s">
        <v>120</v>
      </c>
      <c r="J2" s="4" t="s">
        <v>49</v>
      </c>
      <c r="K2" s="4" t="s">
        <v>50</v>
      </c>
      <c r="L2" s="4" t="s">
        <v>75</v>
      </c>
      <c r="M2" s="4" t="s">
        <v>46</v>
      </c>
      <c r="N2" s="4" t="s">
        <v>16</v>
      </c>
      <c r="O2" s="4" t="s">
        <v>17</v>
      </c>
      <c r="P2" s="48" t="s">
        <v>18</v>
      </c>
      <c r="Q2" s="4" t="s">
        <v>19</v>
      </c>
      <c r="R2" s="4" t="s">
        <v>20</v>
      </c>
      <c r="S2" s="4" t="s">
        <v>54</v>
      </c>
      <c r="T2" s="4" t="s">
        <v>53</v>
      </c>
      <c r="U2" s="4" t="s">
        <v>72</v>
      </c>
      <c r="V2" s="4" t="s">
        <v>73</v>
      </c>
    </row>
    <row r="3" spans="1:22" s="1" customFormat="1" ht="24" x14ac:dyDescent="0.2">
      <c r="A3" s="8" t="s">
        <v>63</v>
      </c>
      <c r="B3" s="30">
        <v>1</v>
      </c>
      <c r="C3" s="21">
        <v>1</v>
      </c>
      <c r="D3" s="30">
        <v>32</v>
      </c>
      <c r="E3" s="49">
        <v>0</v>
      </c>
      <c r="F3" s="49">
        <v>0</v>
      </c>
      <c r="G3" s="49">
        <v>0</v>
      </c>
      <c r="H3" s="49">
        <v>0</v>
      </c>
      <c r="I3" s="49"/>
      <c r="J3" s="30">
        <v>7</v>
      </c>
      <c r="K3" s="30">
        <v>30</v>
      </c>
      <c r="L3" s="30">
        <v>18</v>
      </c>
      <c r="M3" s="30">
        <v>180</v>
      </c>
      <c r="N3" s="21">
        <v>30000</v>
      </c>
      <c r="O3" s="21">
        <v>4500</v>
      </c>
      <c r="P3" s="32"/>
      <c r="Q3" s="21"/>
      <c r="R3" s="21"/>
      <c r="S3" s="21">
        <v>17675645.609921526</v>
      </c>
      <c r="T3" s="21">
        <v>27675645.609921526</v>
      </c>
      <c r="U3" s="21"/>
      <c r="V3" s="21"/>
    </row>
    <row r="4" spans="1:22" s="1" customFormat="1" ht="12" x14ac:dyDescent="0.2">
      <c r="A4" s="8" t="s">
        <v>60</v>
      </c>
      <c r="B4" s="30">
        <v>1</v>
      </c>
      <c r="C4" s="21">
        <v>1</v>
      </c>
      <c r="D4" s="30">
        <v>32</v>
      </c>
      <c r="E4" s="49">
        <v>0</v>
      </c>
      <c r="F4" s="49">
        <v>0</v>
      </c>
      <c r="G4" s="49">
        <v>0</v>
      </c>
      <c r="H4" s="49">
        <v>0</v>
      </c>
      <c r="I4" s="49"/>
      <c r="J4" s="30">
        <v>7</v>
      </c>
      <c r="K4" s="30">
        <v>30</v>
      </c>
      <c r="L4" s="30">
        <v>18</v>
      </c>
      <c r="M4" s="30">
        <v>180</v>
      </c>
      <c r="N4" s="21">
        <v>30000</v>
      </c>
      <c r="O4" s="21">
        <v>4500</v>
      </c>
      <c r="P4" s="32"/>
      <c r="Q4" s="21"/>
      <c r="R4" s="21"/>
      <c r="S4" s="21">
        <v>17675645.609921526</v>
      </c>
      <c r="T4" s="21">
        <v>27675645.609921526</v>
      </c>
      <c r="U4" s="21"/>
      <c r="V4" s="21"/>
    </row>
    <row r="5" spans="1:22" s="1" customFormat="1" ht="12" x14ac:dyDescent="0.2">
      <c r="A5" s="8" t="s">
        <v>61</v>
      </c>
      <c r="B5" s="30">
        <v>1</v>
      </c>
      <c r="C5" s="21">
        <v>1</v>
      </c>
      <c r="D5" s="30">
        <v>32</v>
      </c>
      <c r="E5" s="49">
        <v>0</v>
      </c>
      <c r="F5" s="49">
        <v>0</v>
      </c>
      <c r="G5" s="49">
        <v>0</v>
      </c>
      <c r="H5" s="49">
        <v>0</v>
      </c>
      <c r="I5" s="49"/>
      <c r="J5" s="30">
        <v>7</v>
      </c>
      <c r="K5" s="30">
        <v>30</v>
      </c>
      <c r="L5" s="30">
        <v>18</v>
      </c>
      <c r="M5" s="30">
        <v>180</v>
      </c>
      <c r="N5" s="21">
        <v>30000</v>
      </c>
      <c r="O5" s="21">
        <v>4500</v>
      </c>
      <c r="P5" s="32"/>
      <c r="Q5" s="21"/>
      <c r="R5" s="21"/>
      <c r="S5" s="21">
        <v>17675645.609921526</v>
      </c>
      <c r="T5" s="21">
        <v>27675645.609921526</v>
      </c>
      <c r="U5" s="21"/>
      <c r="V5" s="21"/>
    </row>
    <row r="6" spans="1:22" s="1" customFormat="1" ht="12" x14ac:dyDescent="0.2">
      <c r="A6" s="8" t="s">
        <v>62</v>
      </c>
      <c r="B6" s="30">
        <v>1</v>
      </c>
      <c r="C6" s="21">
        <v>1</v>
      </c>
      <c r="D6" s="30">
        <v>32</v>
      </c>
      <c r="E6" s="49">
        <v>0</v>
      </c>
      <c r="F6" s="49">
        <v>0</v>
      </c>
      <c r="G6" s="49">
        <v>0</v>
      </c>
      <c r="H6" s="49">
        <v>0</v>
      </c>
      <c r="I6" s="49"/>
      <c r="J6" s="30">
        <v>7</v>
      </c>
      <c r="K6" s="30">
        <v>30</v>
      </c>
      <c r="L6" s="30">
        <v>18</v>
      </c>
      <c r="M6" s="30">
        <v>180</v>
      </c>
      <c r="N6" s="21">
        <v>30000</v>
      </c>
      <c r="O6" s="21">
        <v>4500</v>
      </c>
      <c r="P6" s="32"/>
      <c r="Q6" s="21"/>
      <c r="R6" s="21"/>
      <c r="S6" s="21">
        <v>17675645.609921526</v>
      </c>
      <c r="T6" s="21">
        <v>27675645.609921526</v>
      </c>
      <c r="U6" s="21"/>
      <c r="V6" s="21"/>
    </row>
    <row r="7" spans="1:22" s="1" customFormat="1" ht="12" x14ac:dyDescent="0.2">
      <c r="A7" s="8" t="s">
        <v>65</v>
      </c>
      <c r="B7" s="30">
        <v>1</v>
      </c>
      <c r="C7" s="21">
        <v>2</v>
      </c>
      <c r="D7" s="30">
        <v>64</v>
      </c>
      <c r="E7" s="49">
        <v>0</v>
      </c>
      <c r="F7" s="49">
        <v>0</v>
      </c>
      <c r="G7" s="49">
        <v>0</v>
      </c>
      <c r="H7" s="49">
        <v>0</v>
      </c>
      <c r="I7" s="49"/>
      <c r="J7" s="30">
        <v>7</v>
      </c>
      <c r="K7" s="30">
        <v>30</v>
      </c>
      <c r="L7" s="30">
        <v>18</v>
      </c>
      <c r="M7" s="30">
        <v>180</v>
      </c>
      <c r="N7" s="21"/>
      <c r="O7" s="21"/>
      <c r="P7" s="32"/>
      <c r="Q7" s="21">
        <v>18000</v>
      </c>
      <c r="R7" s="21">
        <v>4500</v>
      </c>
      <c r="S7" s="21">
        <v>19181769.476781182</v>
      </c>
      <c r="T7" s="21">
        <v>137431124</v>
      </c>
      <c r="U7" s="21"/>
      <c r="V7" s="21"/>
    </row>
    <row r="8" spans="1:22" s="1" customFormat="1" ht="14.65" customHeight="1" x14ac:dyDescent="0.2">
      <c r="A8" s="8" t="s">
        <v>64</v>
      </c>
      <c r="B8" s="30">
        <v>1</v>
      </c>
      <c r="C8" s="21">
        <v>2</v>
      </c>
      <c r="D8" s="30">
        <v>64</v>
      </c>
      <c r="E8" s="49">
        <v>0</v>
      </c>
      <c r="F8" s="49">
        <v>0</v>
      </c>
      <c r="G8" s="49">
        <v>0</v>
      </c>
      <c r="H8" s="49">
        <v>0</v>
      </c>
      <c r="I8" s="49"/>
      <c r="J8" s="30">
        <v>7</v>
      </c>
      <c r="K8" s="30">
        <v>30</v>
      </c>
      <c r="L8" s="30">
        <v>18</v>
      </c>
      <c r="M8" s="30">
        <v>180</v>
      </c>
      <c r="N8" s="21"/>
      <c r="O8" s="21"/>
      <c r="P8" s="32"/>
      <c r="Q8" s="21">
        <v>18000</v>
      </c>
      <c r="R8" s="21">
        <v>4500</v>
      </c>
      <c r="S8" s="21">
        <v>19181769.476781182</v>
      </c>
      <c r="T8" s="21">
        <v>137431124</v>
      </c>
      <c r="U8" s="21"/>
      <c r="V8" s="21"/>
    </row>
    <row r="9" spans="1:22" s="1" customFormat="1" ht="14.65" customHeight="1" x14ac:dyDescent="0.2">
      <c r="A9" s="8" t="s">
        <v>66</v>
      </c>
      <c r="B9" s="30">
        <v>2</v>
      </c>
      <c r="C9" s="21">
        <v>3</v>
      </c>
      <c r="D9" s="30">
        <v>32</v>
      </c>
      <c r="E9" s="49">
        <v>0</v>
      </c>
      <c r="F9" s="49">
        <v>0</v>
      </c>
      <c r="G9" s="49">
        <v>0</v>
      </c>
      <c r="H9" s="49">
        <v>0</v>
      </c>
      <c r="I9" s="49"/>
      <c r="J9" s="30"/>
      <c r="K9" s="30"/>
      <c r="L9" s="30"/>
      <c r="M9" s="30">
        <v>151</v>
      </c>
      <c r="N9" s="21">
        <v>12000</v>
      </c>
      <c r="O9" s="21">
        <v>1500</v>
      </c>
      <c r="P9" s="32"/>
      <c r="Q9" s="21"/>
      <c r="R9" s="21"/>
      <c r="S9" s="21">
        <v>9564665.3300000001</v>
      </c>
      <c r="T9" s="21">
        <v>12564665.33</v>
      </c>
      <c r="U9" s="21">
        <v>4500</v>
      </c>
      <c r="V9" s="21">
        <v>0</v>
      </c>
    </row>
    <row r="10" spans="1:22" s="1" customFormat="1" ht="12" x14ac:dyDescent="0.2">
      <c r="A10" s="8" t="s">
        <v>67</v>
      </c>
      <c r="B10" s="30">
        <v>2</v>
      </c>
      <c r="C10" s="21">
        <v>3</v>
      </c>
      <c r="D10" s="30">
        <v>32</v>
      </c>
      <c r="E10" s="49">
        <v>0</v>
      </c>
      <c r="F10" s="49">
        <v>0</v>
      </c>
      <c r="G10" s="49">
        <v>0</v>
      </c>
      <c r="H10" s="49">
        <v>0</v>
      </c>
      <c r="I10" s="49"/>
      <c r="J10" s="30"/>
      <c r="K10" s="30"/>
      <c r="L10" s="30"/>
      <c r="M10" s="30">
        <v>151</v>
      </c>
      <c r="N10" s="21">
        <v>12000</v>
      </c>
      <c r="O10" s="21">
        <v>1500</v>
      </c>
      <c r="P10" s="32"/>
      <c r="Q10" s="21"/>
      <c r="R10" s="21"/>
      <c r="S10" s="21">
        <v>9564665.3300000001</v>
      </c>
      <c r="T10" s="21">
        <v>12564665.33</v>
      </c>
      <c r="U10" s="21">
        <v>4500</v>
      </c>
      <c r="V10" s="21">
        <v>0</v>
      </c>
    </row>
    <row r="11" spans="1:22" s="1" customFormat="1" ht="12" x14ac:dyDescent="0.2">
      <c r="A11" s="8" t="s">
        <v>69</v>
      </c>
      <c r="B11" s="30">
        <v>2</v>
      </c>
      <c r="C11" s="21">
        <v>4</v>
      </c>
      <c r="D11" s="30">
        <v>64</v>
      </c>
      <c r="E11" s="49">
        <v>0</v>
      </c>
      <c r="F11" s="49">
        <v>0</v>
      </c>
      <c r="G11" s="49">
        <v>0</v>
      </c>
      <c r="H11" s="49">
        <v>0</v>
      </c>
      <c r="I11" s="49"/>
      <c r="J11" s="30"/>
      <c r="K11" s="30"/>
      <c r="L11" s="30"/>
      <c r="M11" s="30">
        <v>221</v>
      </c>
      <c r="N11" s="21"/>
      <c r="O11" s="21"/>
      <c r="P11" s="32"/>
      <c r="Q11" s="21">
        <v>7500</v>
      </c>
      <c r="R11" s="21">
        <v>1500</v>
      </c>
      <c r="S11" s="21">
        <v>21328000</v>
      </c>
      <c r="T11" s="21">
        <v>110000000</v>
      </c>
      <c r="U11" s="21">
        <v>4500</v>
      </c>
      <c r="V11" s="21">
        <v>0</v>
      </c>
    </row>
    <row r="12" spans="1:22" s="1" customFormat="1" ht="12" x14ac:dyDescent="0.2">
      <c r="A12" s="8" t="s">
        <v>68</v>
      </c>
      <c r="B12" s="30">
        <v>2</v>
      </c>
      <c r="C12" s="21">
        <v>4</v>
      </c>
      <c r="D12" s="30">
        <v>64</v>
      </c>
      <c r="E12" s="49">
        <v>0</v>
      </c>
      <c r="F12" s="49">
        <v>0</v>
      </c>
      <c r="G12" s="49">
        <v>0</v>
      </c>
      <c r="H12" s="49">
        <v>0</v>
      </c>
      <c r="I12" s="49"/>
      <c r="J12" s="30"/>
      <c r="K12" s="30"/>
      <c r="L12" s="30"/>
      <c r="M12" s="30">
        <v>221</v>
      </c>
      <c r="N12" s="21"/>
      <c r="O12" s="21"/>
      <c r="P12" s="32"/>
      <c r="Q12" s="21">
        <v>7500</v>
      </c>
      <c r="R12" s="21">
        <v>1500</v>
      </c>
      <c r="S12" s="21">
        <v>21328000</v>
      </c>
      <c r="T12" s="21">
        <v>110000000</v>
      </c>
      <c r="U12" s="21">
        <v>4500</v>
      </c>
      <c r="V12" s="21">
        <v>0</v>
      </c>
    </row>
    <row r="13" spans="1:22" s="1" customFormat="1" ht="12" x14ac:dyDescent="0.2">
      <c r="A13" s="10" t="s">
        <v>21</v>
      </c>
      <c r="B13" s="30">
        <v>1</v>
      </c>
      <c r="C13" s="21">
        <v>12</v>
      </c>
      <c r="D13" s="30">
        <v>32</v>
      </c>
      <c r="E13" s="49">
        <v>0</v>
      </c>
      <c r="F13" s="49">
        <v>0</v>
      </c>
      <c r="G13" s="49">
        <v>0</v>
      </c>
      <c r="H13" s="49">
        <v>0</v>
      </c>
      <c r="I13" s="49"/>
      <c r="J13" s="30"/>
      <c r="K13" s="30"/>
      <c r="L13" s="30"/>
      <c r="M13" s="30">
        <v>141</v>
      </c>
      <c r="N13" s="21">
        <v>15000</v>
      </c>
      <c r="O13" s="21">
        <v>2000</v>
      </c>
      <c r="P13" s="32"/>
      <c r="Q13" s="21"/>
      <c r="R13" s="21"/>
      <c r="S13" s="21">
        <v>6666666.6699999999</v>
      </c>
      <c r="T13" s="21">
        <v>8666666.6699999999</v>
      </c>
      <c r="U13" s="21">
        <v>7500</v>
      </c>
      <c r="V13" s="21">
        <v>0</v>
      </c>
    </row>
    <row r="14" spans="1:22" s="1" customFormat="1" ht="12" x14ac:dyDescent="0.2">
      <c r="A14" s="14" t="s">
        <v>22</v>
      </c>
      <c r="B14" s="30">
        <v>1</v>
      </c>
      <c r="C14" s="21">
        <v>13</v>
      </c>
      <c r="D14" s="30">
        <v>64</v>
      </c>
      <c r="E14" s="50">
        <v>0</v>
      </c>
      <c r="F14" s="50">
        <v>0</v>
      </c>
      <c r="G14" s="50">
        <v>0</v>
      </c>
      <c r="H14" s="50">
        <v>0</v>
      </c>
      <c r="I14" s="50"/>
      <c r="J14" s="31"/>
      <c r="K14" s="31"/>
      <c r="L14" s="30"/>
      <c r="M14" s="31">
        <v>171</v>
      </c>
      <c r="N14" s="25"/>
      <c r="O14" s="25"/>
      <c r="P14" s="62"/>
      <c r="Q14" s="25">
        <v>10000</v>
      </c>
      <c r="R14" s="25">
        <v>2000</v>
      </c>
      <c r="S14" s="21">
        <v>7804256.7300000004</v>
      </c>
      <c r="T14" s="25">
        <v>14069063</v>
      </c>
      <c r="U14" s="25">
        <v>0</v>
      </c>
      <c r="V14" s="25">
        <v>0</v>
      </c>
    </row>
    <row r="15" spans="1:22" s="1" customFormat="1" ht="12" x14ac:dyDescent="0.2">
      <c r="A15" s="10" t="s">
        <v>55</v>
      </c>
      <c r="B15" s="30">
        <v>1</v>
      </c>
      <c r="C15" s="21">
        <v>14</v>
      </c>
      <c r="D15" s="30">
        <v>64</v>
      </c>
      <c r="E15" s="49">
        <v>0</v>
      </c>
      <c r="F15" s="49">
        <v>0</v>
      </c>
      <c r="G15" s="49">
        <v>0</v>
      </c>
      <c r="H15" s="49">
        <v>0</v>
      </c>
      <c r="I15" s="49"/>
      <c r="J15" s="30"/>
      <c r="K15" s="30"/>
      <c r="L15" s="30"/>
      <c r="M15" s="30">
        <v>111</v>
      </c>
      <c r="N15" s="21"/>
      <c r="O15" s="21"/>
      <c r="P15" s="32"/>
      <c r="Q15" s="21">
        <v>12000</v>
      </c>
      <c r="R15" s="21">
        <v>1500</v>
      </c>
      <c r="S15" s="21">
        <v>1577166.67</v>
      </c>
      <c r="T15" s="21">
        <v>19970000</v>
      </c>
      <c r="U15" s="21">
        <v>6000</v>
      </c>
      <c r="V15" s="21">
        <v>0</v>
      </c>
    </row>
    <row r="16" spans="1:22" s="1" customFormat="1" ht="12" x14ac:dyDescent="0.2">
      <c r="A16" s="10" t="s">
        <v>23</v>
      </c>
      <c r="B16" s="30">
        <v>1</v>
      </c>
      <c r="C16" s="21">
        <v>15</v>
      </c>
      <c r="D16" s="30">
        <v>64</v>
      </c>
      <c r="E16" s="49">
        <v>0</v>
      </c>
      <c r="F16" s="49">
        <v>0</v>
      </c>
      <c r="G16" s="49">
        <v>0</v>
      </c>
      <c r="H16" s="49">
        <v>0</v>
      </c>
      <c r="I16" s="49"/>
      <c r="J16" s="30"/>
      <c r="K16" s="30"/>
      <c r="L16" s="30"/>
      <c r="M16" s="30">
        <v>416</v>
      </c>
      <c r="N16" s="32"/>
      <c r="O16" s="21"/>
      <c r="P16" s="32"/>
      <c r="Q16" s="21">
        <v>12000</v>
      </c>
      <c r="R16" s="21">
        <v>4000</v>
      </c>
      <c r="S16" s="33">
        <v>16180200</v>
      </c>
      <c r="T16" s="21">
        <v>42203355</v>
      </c>
      <c r="U16" s="21">
        <v>0</v>
      </c>
      <c r="V16" s="21">
        <v>0</v>
      </c>
    </row>
    <row r="17" spans="1:22" s="1" customFormat="1" ht="12" x14ac:dyDescent="0.2">
      <c r="A17" s="10" t="s">
        <v>24</v>
      </c>
      <c r="B17" s="30">
        <v>1</v>
      </c>
      <c r="C17" s="21">
        <v>16</v>
      </c>
      <c r="D17" s="30">
        <v>64</v>
      </c>
      <c r="E17" s="49">
        <v>0</v>
      </c>
      <c r="F17" s="49">
        <v>0</v>
      </c>
      <c r="G17" s="49">
        <v>0</v>
      </c>
      <c r="H17" s="49">
        <v>0</v>
      </c>
      <c r="I17" s="49"/>
      <c r="J17" s="30"/>
      <c r="K17" s="30"/>
      <c r="L17" s="30"/>
      <c r="M17" s="30">
        <v>416</v>
      </c>
      <c r="N17" s="32"/>
      <c r="O17" s="21"/>
      <c r="P17" s="32"/>
      <c r="Q17" s="21">
        <v>6000</v>
      </c>
      <c r="R17" s="21">
        <v>4000</v>
      </c>
      <c r="S17" s="21">
        <v>15000000</v>
      </c>
      <c r="T17" s="21">
        <v>38000000</v>
      </c>
      <c r="U17" s="21">
        <v>0</v>
      </c>
      <c r="V17" s="21">
        <v>0</v>
      </c>
    </row>
    <row r="18" spans="1:22" s="1" customFormat="1" ht="12.75" thickBot="1" x14ac:dyDescent="0.25">
      <c r="A18" s="11" t="s">
        <v>25</v>
      </c>
      <c r="B18" s="34">
        <v>1</v>
      </c>
      <c r="C18" s="22">
        <v>17</v>
      </c>
      <c r="D18" s="35">
        <v>96</v>
      </c>
      <c r="E18" s="51">
        <v>1</v>
      </c>
      <c r="F18" s="54">
        <v>0</v>
      </c>
      <c r="G18" s="54">
        <v>0</v>
      </c>
      <c r="H18" s="54">
        <v>0</v>
      </c>
      <c r="I18" s="54"/>
      <c r="J18" s="36"/>
      <c r="K18" s="36"/>
      <c r="L18" s="36">
        <v>9</v>
      </c>
      <c r="M18" s="36">
        <v>120</v>
      </c>
      <c r="N18" s="22">
        <v>7500</v>
      </c>
      <c r="O18" s="22">
        <v>1500</v>
      </c>
      <c r="P18" s="63"/>
      <c r="Q18" s="22">
        <v>6000</v>
      </c>
      <c r="R18" s="22">
        <v>1500</v>
      </c>
      <c r="S18" s="36">
        <v>2120516.1768038473</v>
      </c>
      <c r="T18" s="22">
        <v>8515093</v>
      </c>
      <c r="U18" s="22">
        <v>0</v>
      </c>
      <c r="V18" s="22">
        <v>0</v>
      </c>
    </row>
    <row r="19" spans="1:22" s="1" customFormat="1" ht="12" x14ac:dyDescent="0.2">
      <c r="A19" s="12" t="s">
        <v>26</v>
      </c>
      <c r="B19" s="37">
        <v>1</v>
      </c>
      <c r="C19" s="23">
        <v>5</v>
      </c>
      <c r="D19" s="38">
        <v>96</v>
      </c>
      <c r="E19" s="52">
        <v>0</v>
      </c>
      <c r="F19" s="55">
        <v>0</v>
      </c>
      <c r="G19" s="55">
        <v>0</v>
      </c>
      <c r="H19" s="55">
        <v>0</v>
      </c>
      <c r="I19" s="55"/>
      <c r="J19" s="37"/>
      <c r="K19" s="37"/>
      <c r="L19" s="30"/>
      <c r="M19" s="37">
        <v>416</v>
      </c>
      <c r="N19" s="23">
        <v>8000</v>
      </c>
      <c r="O19" s="23">
        <v>2000</v>
      </c>
      <c r="P19" s="64"/>
      <c r="Q19" s="23">
        <v>8000</v>
      </c>
      <c r="R19" s="23">
        <v>2000</v>
      </c>
      <c r="S19" s="23">
        <v>1474602.1</v>
      </c>
      <c r="T19" s="23">
        <v>5000000</v>
      </c>
      <c r="U19" s="23">
        <v>0</v>
      </c>
      <c r="V19" s="23">
        <v>0</v>
      </c>
    </row>
    <row r="20" spans="1:22" s="1" customFormat="1" ht="15" customHeight="1" thickBot="1" x14ac:dyDescent="0.25">
      <c r="A20" s="5" t="s">
        <v>27</v>
      </c>
      <c r="B20" s="39">
        <v>1</v>
      </c>
      <c r="C20" s="24">
        <v>5</v>
      </c>
      <c r="D20" s="40">
        <v>96</v>
      </c>
      <c r="E20" s="53">
        <v>1</v>
      </c>
      <c r="F20" s="56">
        <v>0</v>
      </c>
      <c r="G20" s="56">
        <v>0</v>
      </c>
      <c r="H20" s="56">
        <v>0</v>
      </c>
      <c r="I20" s="56"/>
      <c r="J20" s="39"/>
      <c r="K20" s="39"/>
      <c r="L20" s="39">
        <v>9</v>
      </c>
      <c r="M20" s="39">
        <v>90</v>
      </c>
      <c r="N20" s="24">
        <v>10500</v>
      </c>
      <c r="O20" s="24">
        <v>2000</v>
      </c>
      <c r="P20" s="65"/>
      <c r="Q20" s="24">
        <v>6000</v>
      </c>
      <c r="R20" s="24">
        <v>2000</v>
      </c>
      <c r="S20" s="39">
        <v>963499.54218044691</v>
      </c>
      <c r="T20" s="24">
        <v>4949371.9000000004</v>
      </c>
      <c r="U20" s="24">
        <v>0</v>
      </c>
      <c r="V20" s="24">
        <v>0</v>
      </c>
    </row>
    <row r="21" spans="1:22" s="1" customFormat="1" ht="12.75" thickBot="1" x14ac:dyDescent="0.25">
      <c r="A21" s="7" t="s">
        <v>28</v>
      </c>
      <c r="B21" s="31">
        <v>1</v>
      </c>
      <c r="C21" s="25">
        <v>18</v>
      </c>
      <c r="D21" s="31">
        <v>32</v>
      </c>
      <c r="E21" s="50">
        <v>0</v>
      </c>
      <c r="F21" s="50">
        <v>0</v>
      </c>
      <c r="G21" s="50">
        <v>0</v>
      </c>
      <c r="H21" s="57">
        <v>1</v>
      </c>
      <c r="I21" s="57"/>
      <c r="J21" s="31"/>
      <c r="K21" s="31"/>
      <c r="L21" s="39">
        <v>15</v>
      </c>
      <c r="M21" s="31">
        <v>60</v>
      </c>
      <c r="N21" s="25">
        <v>5000</v>
      </c>
      <c r="O21" s="25">
        <v>1000</v>
      </c>
      <c r="P21" s="62">
        <v>1500</v>
      </c>
      <c r="Q21" s="25"/>
      <c r="R21" s="25"/>
      <c r="S21" s="31">
        <v>743937.70182970166</v>
      </c>
      <c r="T21" s="25">
        <v>6529330</v>
      </c>
      <c r="U21" s="25">
        <v>0</v>
      </c>
      <c r="V21" s="25">
        <v>0</v>
      </c>
    </row>
    <row r="22" spans="1:22" s="1" customFormat="1" ht="14.85" customHeight="1" thickBot="1" x14ac:dyDescent="0.25">
      <c r="A22" s="8" t="s">
        <v>29</v>
      </c>
      <c r="B22" s="30">
        <v>1</v>
      </c>
      <c r="C22" s="21">
        <v>19</v>
      </c>
      <c r="D22" s="30">
        <v>64</v>
      </c>
      <c r="E22" s="49">
        <v>0</v>
      </c>
      <c r="F22" s="49">
        <v>0</v>
      </c>
      <c r="G22" s="49">
        <v>0</v>
      </c>
      <c r="H22" s="49">
        <v>0</v>
      </c>
      <c r="I22" s="49"/>
      <c r="J22" s="30"/>
      <c r="K22" s="30"/>
      <c r="L22" s="39">
        <v>15</v>
      </c>
      <c r="M22" s="30">
        <v>60</v>
      </c>
      <c r="N22" s="21"/>
      <c r="O22" s="21"/>
      <c r="P22" s="32"/>
      <c r="Q22" s="21">
        <v>5000</v>
      </c>
      <c r="R22" s="21">
        <v>1000</v>
      </c>
      <c r="S22" s="30">
        <v>743937.70182970166</v>
      </c>
      <c r="T22" s="25">
        <v>6529330</v>
      </c>
      <c r="U22" s="25">
        <v>0</v>
      </c>
      <c r="V22" s="25">
        <v>0</v>
      </c>
    </row>
    <row r="23" spans="1:22" s="1" customFormat="1" ht="15.75" customHeight="1" x14ac:dyDescent="0.2">
      <c r="A23" s="8" t="s">
        <v>30</v>
      </c>
      <c r="B23" s="31">
        <v>1</v>
      </c>
      <c r="C23" s="21">
        <v>20</v>
      </c>
      <c r="D23" s="30">
        <v>32</v>
      </c>
      <c r="E23" s="49">
        <v>0</v>
      </c>
      <c r="F23" s="49">
        <v>0</v>
      </c>
      <c r="G23" s="49">
        <v>0</v>
      </c>
      <c r="H23" s="49">
        <v>0</v>
      </c>
      <c r="I23" s="49"/>
      <c r="J23" s="30"/>
      <c r="K23" s="30"/>
      <c r="L23" s="30"/>
      <c r="M23" s="30"/>
      <c r="N23" s="25">
        <v>2000</v>
      </c>
      <c r="O23" s="21">
        <v>2000</v>
      </c>
      <c r="P23" s="32"/>
      <c r="Q23" s="25"/>
      <c r="R23" s="25"/>
      <c r="S23" s="21">
        <v>0</v>
      </c>
      <c r="T23" s="25">
        <v>3375350.0000000005</v>
      </c>
      <c r="U23" s="25">
        <v>0</v>
      </c>
      <c r="V23" s="25">
        <v>0</v>
      </c>
    </row>
    <row r="24" spans="1:22" s="1" customFormat="1" ht="15.75" customHeight="1" thickBot="1" x14ac:dyDescent="0.25">
      <c r="A24" s="9" t="s">
        <v>31</v>
      </c>
      <c r="B24" s="36">
        <v>1</v>
      </c>
      <c r="C24" s="22">
        <v>21</v>
      </c>
      <c r="D24" s="36">
        <v>64</v>
      </c>
      <c r="E24" s="54">
        <v>0</v>
      </c>
      <c r="F24" s="54">
        <v>0</v>
      </c>
      <c r="G24" s="54">
        <v>0</v>
      </c>
      <c r="H24" s="54">
        <v>0</v>
      </c>
      <c r="I24" s="54"/>
      <c r="J24" s="36"/>
      <c r="K24" s="36"/>
      <c r="L24" s="30"/>
      <c r="M24" s="36"/>
      <c r="N24" s="22"/>
      <c r="O24" s="22"/>
      <c r="P24" s="63"/>
      <c r="Q24" s="22">
        <v>3000</v>
      </c>
      <c r="R24" s="22">
        <v>3000</v>
      </c>
      <c r="S24" s="22">
        <v>0</v>
      </c>
      <c r="T24" s="29">
        <v>3375350.0000000005</v>
      </c>
      <c r="U24" s="29">
        <v>0</v>
      </c>
      <c r="V24" s="29">
        <v>0</v>
      </c>
    </row>
    <row r="25" spans="1:22" s="1" customFormat="1" ht="15.6" customHeight="1" thickBot="1" x14ac:dyDescent="0.25">
      <c r="A25" s="19" t="s">
        <v>32</v>
      </c>
      <c r="B25" s="37">
        <v>5</v>
      </c>
      <c r="C25" s="26">
        <v>6</v>
      </c>
      <c r="D25" s="38">
        <v>96</v>
      </c>
      <c r="E25" s="55">
        <v>0</v>
      </c>
      <c r="F25" s="55">
        <v>0</v>
      </c>
      <c r="G25" s="55">
        <v>0</v>
      </c>
      <c r="H25" s="55">
        <v>0</v>
      </c>
      <c r="I25" s="55"/>
      <c r="J25" s="37"/>
      <c r="K25" s="37"/>
      <c r="L25" s="30"/>
      <c r="M25" s="37"/>
      <c r="N25" s="23">
        <v>2000</v>
      </c>
      <c r="O25" s="23">
        <v>2000</v>
      </c>
      <c r="P25" s="64"/>
      <c r="Q25" s="23">
        <v>2000</v>
      </c>
      <c r="R25" s="23">
        <v>2000</v>
      </c>
      <c r="S25" s="23">
        <v>0</v>
      </c>
      <c r="T25" s="23">
        <v>10074019</v>
      </c>
      <c r="U25" s="23">
        <v>0</v>
      </c>
      <c r="V25" s="23">
        <v>0</v>
      </c>
    </row>
    <row r="26" spans="1:22" s="1" customFormat="1" ht="15.75" customHeight="1" thickBot="1" x14ac:dyDescent="0.25">
      <c r="A26" s="17" t="s">
        <v>56</v>
      </c>
      <c r="B26" s="39">
        <v>5</v>
      </c>
      <c r="C26" s="27">
        <v>6</v>
      </c>
      <c r="D26" s="40">
        <v>96</v>
      </c>
      <c r="E26" s="56">
        <v>0</v>
      </c>
      <c r="F26" s="56">
        <v>0</v>
      </c>
      <c r="G26" s="56">
        <v>0</v>
      </c>
      <c r="H26" s="56">
        <v>0</v>
      </c>
      <c r="I26" s="56"/>
      <c r="J26" s="39"/>
      <c r="K26" s="39"/>
      <c r="L26" s="30"/>
      <c r="M26" s="39"/>
      <c r="N26" s="24">
        <v>2000</v>
      </c>
      <c r="O26" s="24">
        <v>2000</v>
      </c>
      <c r="P26" s="65"/>
      <c r="Q26" s="24">
        <v>2000</v>
      </c>
      <c r="R26" s="24">
        <v>2000</v>
      </c>
      <c r="S26" s="24">
        <v>0</v>
      </c>
      <c r="T26" s="42">
        <v>10074019</v>
      </c>
      <c r="U26" s="43">
        <v>0</v>
      </c>
      <c r="V26" s="43">
        <v>0</v>
      </c>
    </row>
    <row r="27" spans="1:22" s="1" customFormat="1" ht="12" x14ac:dyDescent="0.2">
      <c r="A27" s="14" t="s">
        <v>33</v>
      </c>
      <c r="B27" s="31">
        <v>3</v>
      </c>
      <c r="C27" s="25">
        <v>22</v>
      </c>
      <c r="D27" s="41">
        <v>96</v>
      </c>
      <c r="E27" s="50">
        <v>0</v>
      </c>
      <c r="F27" s="50">
        <v>0</v>
      </c>
      <c r="G27" s="50">
        <v>0</v>
      </c>
      <c r="H27" s="50">
        <v>0</v>
      </c>
      <c r="I27" s="50"/>
      <c r="J27" s="31"/>
      <c r="K27" s="31"/>
      <c r="L27" s="30">
        <v>36</v>
      </c>
      <c r="M27" s="31">
        <v>90</v>
      </c>
      <c r="N27" s="25">
        <v>9000</v>
      </c>
      <c r="O27" s="25">
        <v>1500</v>
      </c>
      <c r="P27" s="62"/>
      <c r="Q27" s="25">
        <v>9000</v>
      </c>
      <c r="R27" s="25">
        <v>1500</v>
      </c>
      <c r="S27" s="31">
        <v>411287.19456192118</v>
      </c>
      <c r="T27" s="25">
        <v>2909350</v>
      </c>
      <c r="U27" s="25">
        <v>0</v>
      </c>
      <c r="V27" s="25">
        <v>0</v>
      </c>
    </row>
    <row r="28" spans="1:22" s="1" customFormat="1" ht="12" x14ac:dyDescent="0.2">
      <c r="A28" s="10" t="s">
        <v>34</v>
      </c>
      <c r="B28" s="30">
        <v>1</v>
      </c>
      <c r="C28" s="21">
        <v>23</v>
      </c>
      <c r="D28" s="44">
        <v>96</v>
      </c>
      <c r="E28" s="49">
        <v>0</v>
      </c>
      <c r="F28" s="49">
        <v>0</v>
      </c>
      <c r="G28" s="49">
        <v>0</v>
      </c>
      <c r="H28" s="49">
        <v>0</v>
      </c>
      <c r="I28" s="49"/>
      <c r="J28" s="30"/>
      <c r="K28" s="30"/>
      <c r="L28" s="30">
        <v>36</v>
      </c>
      <c r="M28" s="30">
        <v>90</v>
      </c>
      <c r="N28" s="21">
        <v>9000</v>
      </c>
      <c r="O28" s="21">
        <v>1500</v>
      </c>
      <c r="P28" s="32"/>
      <c r="Q28" s="21">
        <v>9000</v>
      </c>
      <c r="R28" s="21">
        <v>1500</v>
      </c>
      <c r="S28" s="30">
        <v>418193.87600668642</v>
      </c>
      <c r="T28" s="21">
        <v>2909350</v>
      </c>
      <c r="U28" s="21">
        <v>0</v>
      </c>
      <c r="V28" s="21">
        <v>0</v>
      </c>
    </row>
    <row r="29" spans="1:22" s="1" customFormat="1" ht="12.75" thickBot="1" x14ac:dyDescent="0.25">
      <c r="A29" s="11" t="s">
        <v>35</v>
      </c>
      <c r="B29" s="36">
        <v>4</v>
      </c>
      <c r="C29" s="24">
        <v>24</v>
      </c>
      <c r="D29" s="30">
        <v>64</v>
      </c>
      <c r="E29" s="54">
        <v>0</v>
      </c>
      <c r="F29" s="54">
        <v>0</v>
      </c>
      <c r="G29" s="54">
        <v>0</v>
      </c>
      <c r="H29" s="54">
        <v>0</v>
      </c>
      <c r="I29" s="54"/>
      <c r="J29" s="36"/>
      <c r="K29" s="36"/>
      <c r="L29" s="30">
        <v>36</v>
      </c>
      <c r="M29" s="36">
        <v>90</v>
      </c>
      <c r="N29" s="22"/>
      <c r="O29" s="22"/>
      <c r="P29" s="63"/>
      <c r="Q29" s="22">
        <v>6000</v>
      </c>
      <c r="R29" s="22">
        <v>1500</v>
      </c>
      <c r="S29" s="30">
        <v>782258.53766308737</v>
      </c>
      <c r="T29" s="21">
        <v>2909350</v>
      </c>
      <c r="U29" s="22">
        <v>0</v>
      </c>
      <c r="V29" s="22">
        <v>0</v>
      </c>
    </row>
    <row r="30" spans="1:22" s="1" customFormat="1" ht="12" x14ac:dyDescent="0.2">
      <c r="A30" s="6" t="s">
        <v>36</v>
      </c>
      <c r="B30" s="37">
        <v>1</v>
      </c>
      <c r="C30" s="25">
        <v>7</v>
      </c>
      <c r="D30" s="44">
        <v>96</v>
      </c>
      <c r="E30" s="52">
        <v>1</v>
      </c>
      <c r="F30" s="55">
        <v>0</v>
      </c>
      <c r="G30" s="55">
        <v>0</v>
      </c>
      <c r="H30" s="55">
        <v>0</v>
      </c>
      <c r="I30" s="55"/>
      <c r="J30" s="37"/>
      <c r="K30" s="37"/>
      <c r="L30" s="30">
        <v>7</v>
      </c>
      <c r="M30" s="37">
        <v>90</v>
      </c>
      <c r="N30" s="23">
        <v>16000</v>
      </c>
      <c r="O30" s="23">
        <v>4000</v>
      </c>
      <c r="P30" s="64"/>
      <c r="Q30" s="23">
        <v>8000</v>
      </c>
      <c r="R30" s="23">
        <v>2000</v>
      </c>
      <c r="S30" s="30">
        <v>346712.07397105638</v>
      </c>
      <c r="T30" s="23">
        <v>2924166.6707000006</v>
      </c>
      <c r="U30" s="23">
        <v>0</v>
      </c>
      <c r="V30" s="23">
        <v>0</v>
      </c>
    </row>
    <row r="31" spans="1:22" s="1" customFormat="1" ht="12.75" thickBot="1" x14ac:dyDescent="0.25">
      <c r="A31" s="11" t="s">
        <v>37</v>
      </c>
      <c r="B31" s="36">
        <v>1</v>
      </c>
      <c r="C31" s="22">
        <v>7</v>
      </c>
      <c r="D31" s="36">
        <v>64</v>
      </c>
      <c r="E31" s="54">
        <v>0</v>
      </c>
      <c r="F31" s="60">
        <v>1</v>
      </c>
      <c r="G31" s="60">
        <v>0</v>
      </c>
      <c r="H31" s="54">
        <v>0</v>
      </c>
      <c r="I31" s="58"/>
      <c r="J31" s="45"/>
      <c r="K31" s="45"/>
      <c r="L31" s="30"/>
      <c r="M31" s="45">
        <v>141</v>
      </c>
      <c r="N31" s="22"/>
      <c r="O31" s="22"/>
      <c r="P31" s="63"/>
      <c r="Q31" s="22">
        <v>12000</v>
      </c>
      <c r="R31" s="22">
        <v>3000</v>
      </c>
      <c r="S31" s="22">
        <v>1144912.53</v>
      </c>
      <c r="T31" s="22">
        <v>3596459.9000000004</v>
      </c>
      <c r="U31" s="22">
        <v>0</v>
      </c>
      <c r="V31" s="22">
        <v>0</v>
      </c>
    </row>
    <row r="32" spans="1:22" s="1" customFormat="1" ht="12" x14ac:dyDescent="0.2">
      <c r="A32" s="6" t="s">
        <v>38</v>
      </c>
      <c r="B32" s="37">
        <v>1</v>
      </c>
      <c r="C32" s="23">
        <v>8</v>
      </c>
      <c r="D32" s="38">
        <v>96</v>
      </c>
      <c r="E32" s="52">
        <v>1</v>
      </c>
      <c r="F32" s="55">
        <v>0</v>
      </c>
      <c r="G32" s="55">
        <v>0</v>
      </c>
      <c r="H32" s="55">
        <v>0</v>
      </c>
      <c r="I32" s="55"/>
      <c r="J32" s="37"/>
      <c r="K32" s="37"/>
      <c r="L32" s="30">
        <v>7</v>
      </c>
      <c r="M32" s="37">
        <v>90</v>
      </c>
      <c r="N32" s="23">
        <v>16000</v>
      </c>
      <c r="O32" s="23">
        <v>4000</v>
      </c>
      <c r="P32" s="64"/>
      <c r="Q32" s="23">
        <v>8000</v>
      </c>
      <c r="R32" s="23">
        <v>2000</v>
      </c>
      <c r="S32" s="37">
        <v>124219.53415625692</v>
      </c>
      <c r="T32" s="23">
        <v>1776000</v>
      </c>
      <c r="U32" s="23">
        <v>0</v>
      </c>
      <c r="V32" s="23">
        <v>0</v>
      </c>
    </row>
    <row r="33" spans="1:23" s="1" customFormat="1" ht="12.75" thickBot="1" x14ac:dyDescent="0.25">
      <c r="A33" s="13" t="s">
        <v>39</v>
      </c>
      <c r="B33" s="39">
        <v>1</v>
      </c>
      <c r="C33" s="24">
        <v>8</v>
      </c>
      <c r="D33" s="39">
        <v>64</v>
      </c>
      <c r="E33" s="56">
        <v>0</v>
      </c>
      <c r="F33" s="61">
        <v>1</v>
      </c>
      <c r="G33" s="61">
        <v>0</v>
      </c>
      <c r="H33" s="56">
        <v>0</v>
      </c>
      <c r="I33" s="79"/>
      <c r="J33" s="46"/>
      <c r="K33" s="46"/>
      <c r="L33" s="30"/>
      <c r="M33" s="46">
        <v>141</v>
      </c>
      <c r="N33" s="24"/>
      <c r="O33" s="24"/>
      <c r="P33" s="65"/>
      <c r="Q33" s="24">
        <v>12000</v>
      </c>
      <c r="R33" s="24">
        <v>3000</v>
      </c>
      <c r="S33" s="24">
        <v>823131.99</v>
      </c>
      <c r="T33" s="24">
        <v>2609718.3200000003</v>
      </c>
      <c r="U33" s="24">
        <v>0</v>
      </c>
      <c r="V33" s="24">
        <v>0</v>
      </c>
    </row>
    <row r="34" spans="1:23" s="1" customFormat="1" ht="12" x14ac:dyDescent="0.2">
      <c r="A34" s="20" t="s">
        <v>40</v>
      </c>
      <c r="B34" s="31">
        <v>1</v>
      </c>
      <c r="C34" s="28">
        <v>9</v>
      </c>
      <c r="D34" s="41">
        <v>96</v>
      </c>
      <c r="E34" s="57">
        <v>1</v>
      </c>
      <c r="F34" s="57">
        <v>1</v>
      </c>
      <c r="G34" s="57">
        <v>1</v>
      </c>
      <c r="H34" s="50">
        <v>0</v>
      </c>
      <c r="I34" s="50"/>
      <c r="J34" s="41"/>
      <c r="K34" s="41"/>
      <c r="L34" s="30">
        <v>4</v>
      </c>
      <c r="M34" s="41">
        <v>141</v>
      </c>
      <c r="N34" s="25">
        <v>16000</v>
      </c>
      <c r="O34" s="25">
        <v>4000</v>
      </c>
      <c r="P34" s="62"/>
      <c r="Q34" s="25">
        <v>8000</v>
      </c>
      <c r="R34" s="25">
        <v>2000</v>
      </c>
      <c r="S34" s="31">
        <v>183449.94994008305</v>
      </c>
      <c r="T34" s="25">
        <v>2319166.6707000006</v>
      </c>
      <c r="U34" s="25">
        <v>0</v>
      </c>
      <c r="V34" s="25">
        <v>0</v>
      </c>
    </row>
    <row r="35" spans="1:23" s="1" customFormat="1" ht="15" customHeight="1" thickBot="1" x14ac:dyDescent="0.25">
      <c r="A35" s="13" t="s">
        <v>41</v>
      </c>
      <c r="B35" s="39">
        <v>1</v>
      </c>
      <c r="C35" s="27">
        <v>9</v>
      </c>
      <c r="D35" s="30">
        <v>64</v>
      </c>
      <c r="E35" s="56">
        <v>0</v>
      </c>
      <c r="F35" s="56">
        <v>0</v>
      </c>
      <c r="G35" s="56">
        <v>0</v>
      </c>
      <c r="H35" s="56">
        <v>0</v>
      </c>
      <c r="I35" s="56"/>
      <c r="J35" s="39"/>
      <c r="K35" s="39"/>
      <c r="L35" s="30"/>
      <c r="M35" s="39">
        <v>120</v>
      </c>
      <c r="N35" s="24"/>
      <c r="O35" s="24"/>
      <c r="P35" s="65"/>
      <c r="Q35" s="24">
        <v>12000</v>
      </c>
      <c r="R35" s="24">
        <v>3000</v>
      </c>
      <c r="S35" s="24">
        <v>1379980.37</v>
      </c>
      <c r="T35" s="24">
        <v>3114824.35</v>
      </c>
      <c r="U35" s="24">
        <v>0</v>
      </c>
      <c r="V35" s="24">
        <v>0</v>
      </c>
    </row>
    <row r="36" spans="1:23" s="1" customFormat="1" ht="15" customHeight="1" x14ac:dyDescent="0.2">
      <c r="A36" s="15" t="s">
        <v>70</v>
      </c>
      <c r="B36" s="34">
        <v>1</v>
      </c>
      <c r="C36" s="29">
        <v>10</v>
      </c>
      <c r="D36" s="35">
        <v>96</v>
      </c>
      <c r="E36" s="58">
        <v>0</v>
      </c>
      <c r="F36" s="58">
        <v>0</v>
      </c>
      <c r="G36" s="58">
        <v>0</v>
      </c>
      <c r="H36" s="58">
        <v>0</v>
      </c>
      <c r="I36" s="58"/>
      <c r="J36" s="34"/>
      <c r="K36" s="34"/>
      <c r="L36" s="30">
        <v>9</v>
      </c>
      <c r="M36" s="34">
        <v>90</v>
      </c>
      <c r="N36" s="29">
        <v>9500</v>
      </c>
      <c r="O36" s="29">
        <v>2000</v>
      </c>
      <c r="P36" s="66"/>
      <c r="Q36" s="29">
        <v>9500</v>
      </c>
      <c r="R36" s="29">
        <v>2000</v>
      </c>
      <c r="S36" s="34">
        <v>135788.59716344613</v>
      </c>
      <c r="T36" s="29">
        <v>2800000</v>
      </c>
      <c r="U36" s="29">
        <v>0</v>
      </c>
      <c r="V36" s="29">
        <v>0</v>
      </c>
    </row>
    <row r="37" spans="1:23" s="1" customFormat="1" ht="12.75" thickBot="1" x14ac:dyDescent="0.25">
      <c r="A37" s="18" t="s">
        <v>71</v>
      </c>
      <c r="B37" s="34">
        <v>1</v>
      </c>
      <c r="C37" s="29">
        <v>10</v>
      </c>
      <c r="D37" s="35">
        <v>96</v>
      </c>
      <c r="E37" s="58">
        <v>0</v>
      </c>
      <c r="F37" s="58">
        <v>0</v>
      </c>
      <c r="G37" s="58">
        <v>0</v>
      </c>
      <c r="H37" s="58">
        <v>0</v>
      </c>
      <c r="I37" s="58"/>
      <c r="J37" s="34"/>
      <c r="K37" s="34"/>
      <c r="L37" s="30">
        <v>9</v>
      </c>
      <c r="M37" s="34">
        <v>90</v>
      </c>
      <c r="N37" s="29">
        <v>9500</v>
      </c>
      <c r="O37" s="29">
        <v>2000</v>
      </c>
      <c r="P37" s="66"/>
      <c r="Q37" s="29">
        <v>9500</v>
      </c>
      <c r="R37" s="29">
        <v>2000</v>
      </c>
      <c r="S37" s="34">
        <v>135788.59716344613</v>
      </c>
      <c r="T37" s="29">
        <v>2800000</v>
      </c>
      <c r="U37" s="29">
        <v>0</v>
      </c>
      <c r="V37" s="29">
        <v>0</v>
      </c>
    </row>
    <row r="38" spans="1:23" s="1" customFormat="1" ht="12" x14ac:dyDescent="0.2">
      <c r="A38" s="12" t="s">
        <v>42</v>
      </c>
      <c r="B38" s="37">
        <v>1</v>
      </c>
      <c r="C38" s="23">
        <v>11</v>
      </c>
      <c r="D38" s="38">
        <v>96</v>
      </c>
      <c r="E38" s="55">
        <v>0</v>
      </c>
      <c r="F38" s="55">
        <v>0</v>
      </c>
      <c r="G38" s="55">
        <v>0</v>
      </c>
      <c r="H38" s="55">
        <v>0</v>
      </c>
      <c r="I38" s="55"/>
      <c r="J38" s="37"/>
      <c r="K38" s="37"/>
      <c r="L38" s="30">
        <v>10</v>
      </c>
      <c r="M38" s="37">
        <v>60</v>
      </c>
      <c r="N38" s="23">
        <v>12000</v>
      </c>
      <c r="O38" s="23">
        <v>1500</v>
      </c>
      <c r="P38" s="64"/>
      <c r="Q38" s="23">
        <v>12000</v>
      </c>
      <c r="R38" s="23">
        <v>1500</v>
      </c>
      <c r="S38" s="37">
        <v>263072.79652163608</v>
      </c>
      <c r="T38" s="23">
        <v>273606.30000000005</v>
      </c>
      <c r="U38" s="23">
        <v>0</v>
      </c>
      <c r="V38" s="23">
        <v>0</v>
      </c>
    </row>
    <row r="39" spans="1:23" s="1" customFormat="1" ht="15.75" customHeight="1" thickBot="1" x14ac:dyDescent="0.25">
      <c r="A39" s="11" t="s">
        <v>43</v>
      </c>
      <c r="B39" s="36">
        <v>1</v>
      </c>
      <c r="C39" s="22">
        <v>11</v>
      </c>
      <c r="D39" s="35">
        <v>96</v>
      </c>
      <c r="E39" s="54">
        <v>0</v>
      </c>
      <c r="F39" s="54">
        <v>0</v>
      </c>
      <c r="G39" s="54">
        <v>0</v>
      </c>
      <c r="H39" s="54">
        <v>0</v>
      </c>
      <c r="I39" s="54"/>
      <c r="J39" s="36"/>
      <c r="K39" s="36"/>
      <c r="L39" s="30">
        <v>10</v>
      </c>
      <c r="M39" s="36">
        <v>60</v>
      </c>
      <c r="N39" s="22">
        <v>3000</v>
      </c>
      <c r="O39" s="22">
        <v>1500</v>
      </c>
      <c r="P39" s="63"/>
      <c r="Q39" s="22">
        <v>3000</v>
      </c>
      <c r="R39" s="22">
        <v>1500</v>
      </c>
      <c r="S39" s="36">
        <v>263072.79652163608</v>
      </c>
      <c r="T39" s="29">
        <v>273606.30000000005</v>
      </c>
      <c r="U39" s="29"/>
      <c r="V39" s="29"/>
    </row>
    <row r="40" spans="1:23" s="1" customFormat="1" ht="15.75" customHeight="1" thickBot="1" x14ac:dyDescent="0.25">
      <c r="A40" s="81" t="s">
        <v>129</v>
      </c>
      <c r="B40" s="55">
        <v>1</v>
      </c>
      <c r="C40" s="64">
        <v>11</v>
      </c>
      <c r="D40" s="52">
        <v>96</v>
      </c>
      <c r="E40" s="55">
        <v>0</v>
      </c>
      <c r="F40" s="55">
        <v>0</v>
      </c>
      <c r="G40" s="55">
        <v>0</v>
      </c>
      <c r="H40" s="55">
        <v>0</v>
      </c>
      <c r="I40" s="55"/>
      <c r="J40" s="55"/>
      <c r="K40" s="55"/>
      <c r="L40" s="49">
        <v>10</v>
      </c>
      <c r="M40" s="55">
        <v>60</v>
      </c>
      <c r="N40" s="64">
        <v>12000</v>
      </c>
      <c r="O40" s="64">
        <v>1500</v>
      </c>
      <c r="P40" s="64"/>
      <c r="Q40" s="64">
        <v>12000</v>
      </c>
      <c r="R40" s="64">
        <v>1500</v>
      </c>
      <c r="S40" s="55">
        <v>263072.79652163608</v>
      </c>
      <c r="T40" s="64">
        <v>273606.30000000005</v>
      </c>
      <c r="U40" s="64">
        <v>0</v>
      </c>
      <c r="V40" s="64">
        <v>0</v>
      </c>
      <c r="W40" s="1" t="s">
        <v>130</v>
      </c>
    </row>
    <row r="41" spans="1:23" s="1" customFormat="1" ht="12.75" thickBot="1" x14ac:dyDescent="0.25">
      <c r="A41" s="68" t="s">
        <v>77</v>
      </c>
      <c r="B41" s="69">
        <v>1</v>
      </c>
      <c r="C41" s="69">
        <v>25</v>
      </c>
      <c r="D41" s="76">
        <v>96</v>
      </c>
      <c r="E41" s="70">
        <v>0</v>
      </c>
      <c r="F41" s="77">
        <v>0</v>
      </c>
      <c r="G41" s="77">
        <v>0</v>
      </c>
      <c r="H41" s="77">
        <v>0</v>
      </c>
      <c r="I41" s="80"/>
      <c r="J41" s="69"/>
      <c r="K41" s="69"/>
      <c r="L41" s="30">
        <v>16</v>
      </c>
      <c r="M41" s="69">
        <v>60</v>
      </c>
      <c r="N41" s="71">
        <v>26000</v>
      </c>
      <c r="O41" s="68">
        <v>6000</v>
      </c>
      <c r="P41" s="72"/>
      <c r="Q41" s="71">
        <v>26000</v>
      </c>
      <c r="R41" s="68">
        <v>6000</v>
      </c>
      <c r="S41" s="71">
        <v>77419</v>
      </c>
      <c r="T41" s="71">
        <v>7493325</v>
      </c>
      <c r="U41" s="23">
        <v>0</v>
      </c>
      <c r="V41" s="23">
        <v>0</v>
      </c>
      <c r="W41" s="1" t="s">
        <v>79</v>
      </c>
    </row>
    <row r="42" spans="1:23" ht="15.75" thickBot="1" x14ac:dyDescent="0.3">
      <c r="A42" s="68" t="s">
        <v>78</v>
      </c>
      <c r="B42" s="69">
        <v>1</v>
      </c>
      <c r="C42" s="69">
        <v>26</v>
      </c>
      <c r="D42" s="76">
        <v>96</v>
      </c>
      <c r="E42" s="70">
        <v>0</v>
      </c>
      <c r="F42" s="77">
        <v>0</v>
      </c>
      <c r="G42" s="77">
        <v>0</v>
      </c>
      <c r="H42" s="77">
        <v>0</v>
      </c>
      <c r="I42" s="80"/>
      <c r="J42" s="69"/>
      <c r="K42" s="69"/>
      <c r="L42" s="30">
        <v>16</v>
      </c>
      <c r="M42" s="69">
        <v>60</v>
      </c>
      <c r="N42" s="71">
        <v>26000</v>
      </c>
      <c r="O42" s="68">
        <v>6000</v>
      </c>
      <c r="P42" s="73"/>
      <c r="Q42" s="71">
        <v>26000</v>
      </c>
      <c r="R42" s="68">
        <v>6000</v>
      </c>
      <c r="S42" s="73">
        <v>77419</v>
      </c>
      <c r="T42" s="73">
        <v>7493325</v>
      </c>
      <c r="U42" s="23">
        <v>0</v>
      </c>
      <c r="V42" s="23">
        <v>0</v>
      </c>
      <c r="W42" s="1" t="s">
        <v>79</v>
      </c>
    </row>
    <row r="43" spans="1:23" ht="15.75" thickBot="1" x14ac:dyDescent="0.3">
      <c r="A43" s="68" t="s">
        <v>80</v>
      </c>
      <c r="B43" s="69">
        <v>1</v>
      </c>
      <c r="C43" s="69">
        <v>27</v>
      </c>
      <c r="D43" s="76">
        <v>96</v>
      </c>
      <c r="E43" s="70">
        <v>0</v>
      </c>
      <c r="F43" s="77">
        <v>0</v>
      </c>
      <c r="G43" s="77">
        <v>0</v>
      </c>
      <c r="H43" s="77">
        <v>0</v>
      </c>
      <c r="I43" s="80"/>
      <c r="J43" s="69"/>
      <c r="K43" s="69"/>
      <c r="L43" s="30">
        <v>16</v>
      </c>
      <c r="M43" s="69">
        <v>60</v>
      </c>
      <c r="N43" s="71">
        <v>26000</v>
      </c>
      <c r="O43" s="68">
        <v>6000</v>
      </c>
      <c r="P43" s="72"/>
      <c r="Q43" s="71">
        <v>26000</v>
      </c>
      <c r="R43" s="68">
        <v>6000</v>
      </c>
      <c r="S43" s="71">
        <v>89355</v>
      </c>
      <c r="T43" s="71">
        <v>9613885</v>
      </c>
      <c r="U43" s="23">
        <v>0</v>
      </c>
      <c r="V43" s="23">
        <v>0</v>
      </c>
      <c r="W43" s="1" t="s">
        <v>82</v>
      </c>
    </row>
    <row r="44" spans="1:23" ht="15.75" thickBot="1" x14ac:dyDescent="0.3">
      <c r="A44" s="68" t="s">
        <v>81</v>
      </c>
      <c r="B44" s="69">
        <v>1</v>
      </c>
      <c r="C44" s="69">
        <v>28</v>
      </c>
      <c r="D44" s="70">
        <v>64</v>
      </c>
      <c r="E44" s="70">
        <v>0</v>
      </c>
      <c r="F44" s="77">
        <v>0</v>
      </c>
      <c r="G44" s="77">
        <v>0</v>
      </c>
      <c r="H44" s="77">
        <v>0</v>
      </c>
      <c r="I44" s="80"/>
      <c r="J44" s="69"/>
      <c r="K44" s="69"/>
      <c r="L44" s="30">
        <v>18</v>
      </c>
      <c r="M44" s="69">
        <v>60</v>
      </c>
      <c r="N44" s="71">
        <v>12000</v>
      </c>
      <c r="O44" s="68">
        <v>2000</v>
      </c>
      <c r="P44" s="72"/>
      <c r="Q44" s="68"/>
      <c r="R44" s="71"/>
      <c r="S44" s="71">
        <v>44250</v>
      </c>
      <c r="T44" s="71">
        <v>1456980</v>
      </c>
      <c r="U44" s="23">
        <v>0</v>
      </c>
      <c r="V44" s="23">
        <v>0</v>
      </c>
      <c r="W44" s="1" t="s">
        <v>83</v>
      </c>
    </row>
    <row r="45" spans="1:23" ht="15.75" thickBot="1" x14ac:dyDescent="0.3">
      <c r="A45" s="68" t="s">
        <v>125</v>
      </c>
      <c r="B45" s="69">
        <v>1</v>
      </c>
      <c r="C45" s="69">
        <v>28</v>
      </c>
      <c r="D45" s="70">
        <v>64</v>
      </c>
      <c r="E45" s="70">
        <v>0</v>
      </c>
      <c r="F45" s="77">
        <v>0</v>
      </c>
      <c r="G45" s="77">
        <v>0</v>
      </c>
      <c r="H45" s="77">
        <v>0</v>
      </c>
      <c r="I45" s="80"/>
      <c r="J45" s="69"/>
      <c r="K45" s="69"/>
      <c r="L45" s="30">
        <v>18</v>
      </c>
      <c r="M45" s="69">
        <v>60</v>
      </c>
      <c r="N45" s="71">
        <v>12000</v>
      </c>
      <c r="O45" s="68">
        <v>2000</v>
      </c>
      <c r="P45" s="72"/>
      <c r="Q45" s="68"/>
      <c r="R45" s="71"/>
      <c r="S45" s="71">
        <v>44250</v>
      </c>
      <c r="T45" s="71">
        <v>1456980</v>
      </c>
      <c r="U45" s="23">
        <v>0</v>
      </c>
      <c r="V45" s="23">
        <v>0</v>
      </c>
      <c r="W45" s="1"/>
    </row>
    <row r="46" spans="1:23" ht="15.75" thickBot="1" x14ac:dyDescent="0.3">
      <c r="A46" s="68" t="s">
        <v>117</v>
      </c>
      <c r="B46" s="69">
        <v>1</v>
      </c>
      <c r="C46" s="69">
        <v>29</v>
      </c>
      <c r="D46" s="69">
        <v>64</v>
      </c>
      <c r="E46" s="70">
        <v>0</v>
      </c>
      <c r="F46" s="77">
        <v>0</v>
      </c>
      <c r="G46" s="77">
        <v>0</v>
      </c>
      <c r="H46" s="77">
        <v>0</v>
      </c>
      <c r="I46" s="80"/>
      <c r="J46" s="69"/>
      <c r="K46" s="69"/>
      <c r="L46" s="30">
        <v>18</v>
      </c>
      <c r="M46" s="69">
        <v>60</v>
      </c>
      <c r="N46" s="71"/>
      <c r="O46" s="68"/>
      <c r="P46" s="72"/>
      <c r="Q46" s="68">
        <v>5500</v>
      </c>
      <c r="R46" s="71">
        <v>2000</v>
      </c>
      <c r="S46" s="71">
        <v>44250</v>
      </c>
      <c r="T46" s="71">
        <v>2207605</v>
      </c>
      <c r="U46" s="23">
        <v>0</v>
      </c>
      <c r="V46" s="23">
        <v>0</v>
      </c>
      <c r="W46" s="1" t="s">
        <v>111</v>
      </c>
    </row>
    <row r="47" spans="1:23" ht="15.75" thickBot="1" x14ac:dyDescent="0.3">
      <c r="A47" s="68" t="s">
        <v>109</v>
      </c>
      <c r="B47" s="69">
        <v>1</v>
      </c>
      <c r="C47" s="69">
        <v>30</v>
      </c>
      <c r="D47" s="69">
        <v>64</v>
      </c>
      <c r="E47" s="70">
        <v>0</v>
      </c>
      <c r="F47" s="77">
        <v>0</v>
      </c>
      <c r="G47" s="77">
        <v>0</v>
      </c>
      <c r="H47" s="77">
        <v>0</v>
      </c>
      <c r="I47" s="80"/>
      <c r="J47" s="69"/>
      <c r="K47" s="69"/>
      <c r="L47" s="30">
        <v>18</v>
      </c>
      <c r="M47" s="69">
        <v>60</v>
      </c>
      <c r="N47" s="71"/>
      <c r="O47" s="68"/>
      <c r="P47" s="72"/>
      <c r="Q47" s="68">
        <v>5500</v>
      </c>
      <c r="R47" s="71">
        <v>2000</v>
      </c>
      <c r="S47" s="71">
        <v>44250</v>
      </c>
      <c r="T47" s="71">
        <v>613492</v>
      </c>
      <c r="U47" s="23">
        <v>0</v>
      </c>
      <c r="V47" s="23">
        <v>0</v>
      </c>
      <c r="W47" s="1" t="s">
        <v>111</v>
      </c>
    </row>
    <row r="48" spans="1:23" ht="15.75" thickBot="1" x14ac:dyDescent="0.3">
      <c r="A48" s="72" t="s">
        <v>110</v>
      </c>
      <c r="B48" s="69">
        <v>1</v>
      </c>
      <c r="C48" s="69">
        <v>30</v>
      </c>
      <c r="D48" s="69">
        <v>64</v>
      </c>
      <c r="E48" s="70">
        <v>0</v>
      </c>
      <c r="F48" s="77">
        <v>0</v>
      </c>
      <c r="G48" s="77">
        <v>0</v>
      </c>
      <c r="H48" s="77">
        <v>0</v>
      </c>
      <c r="I48" s="80"/>
      <c r="J48" s="69"/>
      <c r="K48" s="69"/>
      <c r="L48" s="30">
        <v>18</v>
      </c>
      <c r="M48" s="69">
        <v>60</v>
      </c>
      <c r="N48" s="71"/>
      <c r="O48" s="68"/>
      <c r="P48" s="72"/>
      <c r="Q48" s="68">
        <v>5500</v>
      </c>
      <c r="R48" s="71">
        <v>2000</v>
      </c>
      <c r="S48" s="71">
        <v>44250</v>
      </c>
      <c r="T48" s="71">
        <v>613492</v>
      </c>
      <c r="U48" s="23">
        <v>0</v>
      </c>
      <c r="V48" s="23">
        <v>0</v>
      </c>
      <c r="W48" s="1" t="s">
        <v>111</v>
      </c>
    </row>
    <row r="49" spans="1:23" ht="15.75" thickBot="1" x14ac:dyDescent="0.3">
      <c r="A49" s="68" t="s">
        <v>121</v>
      </c>
      <c r="B49" s="69">
        <v>1</v>
      </c>
      <c r="C49" s="69">
        <v>31</v>
      </c>
      <c r="D49" s="76">
        <v>96</v>
      </c>
      <c r="E49" s="70">
        <v>1</v>
      </c>
      <c r="F49" s="77">
        <v>0</v>
      </c>
      <c r="G49" s="77">
        <v>0</v>
      </c>
      <c r="H49" s="77">
        <v>0</v>
      </c>
      <c r="I49" s="80"/>
      <c r="J49" s="69"/>
      <c r="K49" s="69"/>
      <c r="L49" s="30">
        <v>10</v>
      </c>
      <c r="M49" s="69">
        <v>60</v>
      </c>
      <c r="N49" s="71">
        <v>12000</v>
      </c>
      <c r="O49" s="68">
        <v>2000</v>
      </c>
      <c r="P49" s="72"/>
      <c r="Q49" s="68">
        <v>5500</v>
      </c>
      <c r="R49" s="71">
        <v>2000</v>
      </c>
      <c r="S49" s="71">
        <v>36088</v>
      </c>
      <c r="T49" s="71">
        <v>353633</v>
      </c>
      <c r="U49" s="23">
        <v>0</v>
      </c>
      <c r="V49" s="23">
        <v>0</v>
      </c>
      <c r="W49" s="1"/>
    </row>
    <row r="50" spans="1:23" ht="15.75" thickBot="1" x14ac:dyDescent="0.3">
      <c r="A50" s="68" t="s">
        <v>122</v>
      </c>
      <c r="B50" s="69">
        <v>1</v>
      </c>
      <c r="C50" s="69">
        <v>31</v>
      </c>
      <c r="D50" s="76">
        <v>96</v>
      </c>
      <c r="E50" s="70">
        <v>1</v>
      </c>
      <c r="F50" s="77">
        <v>0</v>
      </c>
      <c r="G50" s="77">
        <v>0</v>
      </c>
      <c r="H50" s="77">
        <v>0</v>
      </c>
      <c r="I50" s="80"/>
      <c r="J50" s="69"/>
      <c r="K50" s="69"/>
      <c r="L50" s="30">
        <v>10</v>
      </c>
      <c r="M50" s="69">
        <v>60</v>
      </c>
      <c r="N50" s="71">
        <v>12000</v>
      </c>
      <c r="O50" s="68">
        <v>2000</v>
      </c>
      <c r="P50" s="72"/>
      <c r="Q50" s="68">
        <v>5500</v>
      </c>
      <c r="R50" s="71">
        <v>2000</v>
      </c>
      <c r="S50" s="71">
        <v>36088</v>
      </c>
      <c r="T50" s="71">
        <v>353633</v>
      </c>
      <c r="U50" s="23">
        <v>0</v>
      </c>
      <c r="V50" s="23">
        <v>0</v>
      </c>
      <c r="W50" s="1" t="s">
        <v>86</v>
      </c>
    </row>
    <row r="51" spans="1:23" ht="15.75" thickBot="1" x14ac:dyDescent="0.3">
      <c r="A51" s="68" t="s">
        <v>123</v>
      </c>
      <c r="B51" s="69">
        <v>1</v>
      </c>
      <c r="C51" s="69">
        <v>31</v>
      </c>
      <c r="D51" s="76">
        <v>96</v>
      </c>
      <c r="E51" s="70">
        <v>1</v>
      </c>
      <c r="F51" s="77">
        <v>0</v>
      </c>
      <c r="G51" s="77">
        <v>0</v>
      </c>
      <c r="H51" s="77">
        <v>0</v>
      </c>
      <c r="I51" s="80"/>
      <c r="J51" s="69"/>
      <c r="K51" s="69"/>
      <c r="L51" s="30">
        <v>10</v>
      </c>
      <c r="M51" s="69">
        <v>60</v>
      </c>
      <c r="N51" s="71">
        <v>12000</v>
      </c>
      <c r="O51" s="68">
        <v>2000</v>
      </c>
      <c r="P51" s="72"/>
      <c r="Q51" s="68">
        <v>5500</v>
      </c>
      <c r="R51" s="71">
        <v>2000</v>
      </c>
      <c r="S51" s="71">
        <v>36088</v>
      </c>
      <c r="T51" s="71">
        <v>353633</v>
      </c>
      <c r="U51" s="23">
        <v>0</v>
      </c>
      <c r="V51" s="23">
        <v>0</v>
      </c>
      <c r="W51" s="1"/>
    </row>
    <row r="52" spans="1:23" ht="15.75" thickBot="1" x14ac:dyDescent="0.3">
      <c r="A52" s="68" t="s">
        <v>124</v>
      </c>
      <c r="B52" s="69">
        <v>1</v>
      </c>
      <c r="C52" s="69">
        <v>31</v>
      </c>
      <c r="D52" s="76">
        <v>96</v>
      </c>
      <c r="E52" s="70">
        <v>1</v>
      </c>
      <c r="F52" s="77">
        <v>0</v>
      </c>
      <c r="G52" s="77">
        <v>0</v>
      </c>
      <c r="H52" s="77">
        <v>0</v>
      </c>
      <c r="I52" s="80"/>
      <c r="J52" s="69"/>
      <c r="K52" s="69"/>
      <c r="L52" s="30">
        <v>10</v>
      </c>
      <c r="M52" s="69">
        <v>60</v>
      </c>
      <c r="N52" s="71">
        <v>12000</v>
      </c>
      <c r="O52" s="68">
        <v>2000</v>
      </c>
      <c r="P52" s="72"/>
      <c r="Q52" s="68">
        <v>5500</v>
      </c>
      <c r="R52" s="71">
        <v>2000</v>
      </c>
      <c r="S52" s="71">
        <v>36088</v>
      </c>
      <c r="T52" s="71">
        <v>353633</v>
      </c>
      <c r="U52" s="23">
        <v>0</v>
      </c>
      <c r="V52" s="23">
        <v>0</v>
      </c>
      <c r="W52" s="1"/>
    </row>
    <row r="53" spans="1:23" ht="15.75" thickBot="1" x14ac:dyDescent="0.3">
      <c r="A53" s="68" t="s">
        <v>107</v>
      </c>
      <c r="B53" s="69">
        <v>1</v>
      </c>
      <c r="C53" s="69">
        <v>31</v>
      </c>
      <c r="D53" s="76">
        <v>96</v>
      </c>
      <c r="E53" s="70">
        <v>1</v>
      </c>
      <c r="F53" s="77">
        <v>0</v>
      </c>
      <c r="G53" s="77">
        <v>0</v>
      </c>
      <c r="H53" s="77">
        <v>0</v>
      </c>
      <c r="I53" s="80"/>
      <c r="J53" s="69"/>
      <c r="K53" s="69"/>
      <c r="L53" s="30">
        <v>10</v>
      </c>
      <c r="M53" s="69">
        <v>60</v>
      </c>
      <c r="N53" s="71">
        <v>12000</v>
      </c>
      <c r="O53" s="68">
        <v>2000</v>
      </c>
      <c r="P53" s="72"/>
      <c r="Q53" s="68">
        <v>5500</v>
      </c>
      <c r="R53" s="71">
        <v>2000</v>
      </c>
      <c r="S53" s="71">
        <v>36088</v>
      </c>
      <c r="T53" s="71">
        <v>577001</v>
      </c>
      <c r="U53" s="23">
        <v>0</v>
      </c>
      <c r="V53" s="23">
        <v>0</v>
      </c>
      <c r="W53" s="1" t="s">
        <v>108</v>
      </c>
    </row>
    <row r="54" spans="1:23" ht="15.75" thickBot="1" x14ac:dyDescent="0.3">
      <c r="A54" s="68" t="s">
        <v>84</v>
      </c>
      <c r="B54" s="69">
        <v>1</v>
      </c>
      <c r="C54" s="69">
        <v>32</v>
      </c>
      <c r="D54" s="76">
        <v>32</v>
      </c>
      <c r="E54" s="70">
        <v>0</v>
      </c>
      <c r="F54" s="77">
        <v>0</v>
      </c>
      <c r="G54" s="77">
        <v>0</v>
      </c>
      <c r="H54" s="77">
        <v>0</v>
      </c>
      <c r="I54" s="80"/>
      <c r="J54" s="69"/>
      <c r="K54" s="69"/>
      <c r="L54" s="30">
        <v>5</v>
      </c>
      <c r="M54" s="69">
        <v>60</v>
      </c>
      <c r="N54" s="71">
        <v>8250</v>
      </c>
      <c r="O54" s="68">
        <v>3000</v>
      </c>
      <c r="P54" s="72"/>
      <c r="Q54" s="68"/>
      <c r="R54" s="71"/>
      <c r="S54" s="71">
        <v>332032</v>
      </c>
      <c r="T54" s="71">
        <v>4681529</v>
      </c>
      <c r="U54" s="23">
        <v>0</v>
      </c>
      <c r="V54" s="23">
        <v>0</v>
      </c>
      <c r="W54" s="1" t="s">
        <v>85</v>
      </c>
    </row>
    <row r="55" spans="1:23" ht="15.75" thickBot="1" x14ac:dyDescent="0.3">
      <c r="A55" s="68" t="s">
        <v>89</v>
      </c>
      <c r="B55" s="69">
        <v>1</v>
      </c>
      <c r="C55" s="69">
        <v>32</v>
      </c>
      <c r="D55" s="76">
        <v>96</v>
      </c>
      <c r="E55" s="70">
        <v>1</v>
      </c>
      <c r="F55" s="77">
        <v>0</v>
      </c>
      <c r="G55" s="77">
        <v>0</v>
      </c>
      <c r="H55" s="77">
        <v>0</v>
      </c>
      <c r="I55" s="80"/>
      <c r="J55" s="69"/>
      <c r="K55" s="69"/>
      <c r="L55" s="30">
        <v>5</v>
      </c>
      <c r="M55" s="69">
        <v>60</v>
      </c>
      <c r="N55" s="71">
        <v>60000</v>
      </c>
      <c r="O55" s="68">
        <v>3000</v>
      </c>
      <c r="P55" s="72"/>
      <c r="Q55" s="68">
        <v>4000</v>
      </c>
      <c r="R55" s="71">
        <v>1500</v>
      </c>
      <c r="S55" s="71">
        <v>332032</v>
      </c>
      <c r="T55" s="71">
        <v>7013267</v>
      </c>
      <c r="U55" s="23">
        <v>0</v>
      </c>
      <c r="V55" s="23">
        <v>0</v>
      </c>
      <c r="W55" s="1" t="s">
        <v>85</v>
      </c>
    </row>
    <row r="56" spans="1:23" ht="15.75" thickBot="1" x14ac:dyDescent="0.3">
      <c r="A56" s="68" t="s">
        <v>87</v>
      </c>
      <c r="B56" s="69">
        <v>1</v>
      </c>
      <c r="C56" s="69">
        <v>33</v>
      </c>
      <c r="D56" s="76">
        <v>96</v>
      </c>
      <c r="E56" s="70">
        <v>0</v>
      </c>
      <c r="F56" s="77">
        <v>0</v>
      </c>
      <c r="G56" s="77">
        <v>0</v>
      </c>
      <c r="H56" s="77">
        <v>0</v>
      </c>
      <c r="I56" s="80"/>
      <c r="J56" s="69"/>
      <c r="K56" s="69"/>
      <c r="L56" s="30">
        <v>5</v>
      </c>
      <c r="M56" s="69">
        <v>60</v>
      </c>
      <c r="N56" s="71">
        <v>40</v>
      </c>
      <c r="O56" s="68">
        <v>1500</v>
      </c>
      <c r="P56" s="72"/>
      <c r="Q56" s="68"/>
      <c r="R56" s="71"/>
      <c r="S56" s="71">
        <v>28389</v>
      </c>
      <c r="T56" s="71">
        <v>2491787</v>
      </c>
      <c r="U56" s="23">
        <v>0</v>
      </c>
      <c r="V56" s="23">
        <v>0</v>
      </c>
      <c r="W56" s="1" t="s">
        <v>88</v>
      </c>
    </row>
    <row r="57" spans="1:23" ht="15.75" thickBot="1" x14ac:dyDescent="0.3">
      <c r="A57" s="68" t="s">
        <v>105</v>
      </c>
      <c r="B57" s="69">
        <v>1</v>
      </c>
      <c r="C57" s="69">
        <v>34</v>
      </c>
      <c r="D57" s="69">
        <v>64</v>
      </c>
      <c r="E57" s="70">
        <v>0</v>
      </c>
      <c r="F57" s="77">
        <v>0</v>
      </c>
      <c r="G57" s="77">
        <v>0</v>
      </c>
      <c r="H57" s="77">
        <v>0</v>
      </c>
      <c r="I57" s="80"/>
      <c r="J57" s="69"/>
      <c r="K57" s="69"/>
      <c r="L57" s="30">
        <v>5</v>
      </c>
      <c r="M57" s="69">
        <v>60</v>
      </c>
      <c r="N57" s="71"/>
      <c r="O57" s="68"/>
      <c r="P57" s="72"/>
      <c r="Q57" s="68">
        <v>12000</v>
      </c>
      <c r="R57" s="71"/>
      <c r="S57" s="71">
        <v>28389</v>
      </c>
      <c r="T57" s="71">
        <v>6664255</v>
      </c>
      <c r="U57" s="23">
        <v>0</v>
      </c>
      <c r="V57" s="23">
        <v>0</v>
      </c>
      <c r="W57" s="1" t="s">
        <v>106</v>
      </c>
    </row>
    <row r="58" spans="1:23" ht="15.75" thickBot="1" x14ac:dyDescent="0.3">
      <c r="A58" s="68" t="s">
        <v>90</v>
      </c>
      <c r="B58" s="69">
        <v>2</v>
      </c>
      <c r="C58" s="69">
        <v>35</v>
      </c>
      <c r="D58" s="76">
        <v>96</v>
      </c>
      <c r="E58" s="70">
        <v>0</v>
      </c>
      <c r="F58" s="77">
        <v>0</v>
      </c>
      <c r="G58" s="77">
        <v>0</v>
      </c>
      <c r="H58" s="77">
        <v>0</v>
      </c>
      <c r="I58" s="72">
        <v>15000</v>
      </c>
      <c r="J58" s="69"/>
      <c r="K58" s="69"/>
      <c r="L58" s="30">
        <v>13</v>
      </c>
      <c r="M58" s="69">
        <v>60</v>
      </c>
      <c r="N58" s="71">
        <v>9000</v>
      </c>
      <c r="O58" s="68">
        <v>3000</v>
      </c>
      <c r="P58" s="72">
        <v>5000</v>
      </c>
      <c r="Q58" s="68">
        <v>9000</v>
      </c>
      <c r="R58" s="71">
        <v>3000</v>
      </c>
      <c r="S58" s="71">
        <v>175980</v>
      </c>
      <c r="T58" s="71">
        <v>2352442.63</v>
      </c>
      <c r="U58" s="23">
        <v>0</v>
      </c>
      <c r="V58" s="23">
        <v>0</v>
      </c>
      <c r="W58" s="1" t="s">
        <v>91</v>
      </c>
    </row>
    <row r="59" spans="1:23" ht="15.75" thickBot="1" x14ac:dyDescent="0.3">
      <c r="A59" s="68" t="s">
        <v>92</v>
      </c>
      <c r="B59" s="69">
        <v>2</v>
      </c>
      <c r="C59" s="69">
        <v>36</v>
      </c>
      <c r="D59" s="69">
        <v>64</v>
      </c>
      <c r="E59" s="70">
        <v>0</v>
      </c>
      <c r="F59" s="77">
        <v>0</v>
      </c>
      <c r="G59" s="77">
        <v>0</v>
      </c>
      <c r="H59" s="77">
        <v>0</v>
      </c>
      <c r="I59" s="72">
        <v>12000</v>
      </c>
      <c r="J59" s="69"/>
      <c r="K59" s="69"/>
      <c r="L59" s="30">
        <v>14</v>
      </c>
      <c r="M59" s="69">
        <v>60</v>
      </c>
      <c r="N59" s="71"/>
      <c r="O59" s="68"/>
      <c r="P59" s="72">
        <v>3000</v>
      </c>
      <c r="Q59" s="68">
        <v>6000</v>
      </c>
      <c r="R59" s="71">
        <v>1500</v>
      </c>
      <c r="S59" s="71">
        <v>959786</v>
      </c>
      <c r="T59" s="71">
        <v>3929496</v>
      </c>
      <c r="U59" s="23">
        <v>0</v>
      </c>
      <c r="V59" s="23">
        <v>0</v>
      </c>
      <c r="W59" s="1" t="s">
        <v>91</v>
      </c>
    </row>
    <row r="60" spans="1:23" ht="15.75" thickBot="1" x14ac:dyDescent="0.3">
      <c r="A60" s="68" t="s">
        <v>93</v>
      </c>
      <c r="B60" s="69">
        <v>2</v>
      </c>
      <c r="C60" s="69">
        <v>36</v>
      </c>
      <c r="D60" s="69">
        <v>64</v>
      </c>
      <c r="E60" s="70">
        <v>0</v>
      </c>
      <c r="F60" s="77">
        <v>0</v>
      </c>
      <c r="G60" s="77">
        <v>0</v>
      </c>
      <c r="H60" s="77">
        <v>0</v>
      </c>
      <c r="I60" s="72">
        <v>12000</v>
      </c>
      <c r="J60" s="69"/>
      <c r="K60" s="69"/>
      <c r="L60" s="30">
        <v>14</v>
      </c>
      <c r="M60" s="69">
        <v>60</v>
      </c>
      <c r="N60" s="71"/>
      <c r="O60" s="68"/>
      <c r="P60" s="72">
        <v>3000</v>
      </c>
      <c r="Q60" s="68">
        <v>6000</v>
      </c>
      <c r="R60" s="71">
        <v>1500</v>
      </c>
      <c r="S60" s="71">
        <v>959786</v>
      </c>
      <c r="T60" s="71">
        <v>4123075</v>
      </c>
      <c r="U60" s="23">
        <v>0</v>
      </c>
      <c r="V60" s="23">
        <v>0</v>
      </c>
      <c r="W60" s="1" t="s">
        <v>91</v>
      </c>
    </row>
    <row r="61" spans="1:23" ht="15.75" thickBot="1" x14ac:dyDescent="0.3">
      <c r="A61" s="68" t="s">
        <v>94</v>
      </c>
      <c r="B61" s="70">
        <v>2</v>
      </c>
      <c r="C61" s="69">
        <v>37</v>
      </c>
      <c r="D61" s="69">
        <v>64</v>
      </c>
      <c r="E61" s="70">
        <v>0</v>
      </c>
      <c r="F61" s="77">
        <v>0</v>
      </c>
      <c r="G61" s="77">
        <v>0</v>
      </c>
      <c r="H61" s="77">
        <v>0</v>
      </c>
      <c r="I61" s="72">
        <v>12000</v>
      </c>
      <c r="J61" s="69"/>
      <c r="K61" s="69"/>
      <c r="L61" s="30">
        <v>14</v>
      </c>
      <c r="M61" s="69">
        <v>60</v>
      </c>
      <c r="N61" s="71"/>
      <c r="O61" s="68"/>
      <c r="P61" s="72">
        <v>3000</v>
      </c>
      <c r="Q61" s="68">
        <v>6000</v>
      </c>
      <c r="R61" s="71">
        <v>1500</v>
      </c>
      <c r="S61" s="71">
        <v>959786</v>
      </c>
      <c r="T61" s="71">
        <v>3665106</v>
      </c>
      <c r="U61" s="23">
        <v>0</v>
      </c>
      <c r="V61" s="23">
        <v>0</v>
      </c>
      <c r="W61" s="1" t="s">
        <v>91</v>
      </c>
    </row>
    <row r="62" spans="1:23" ht="15.75" thickBot="1" x14ac:dyDescent="0.3">
      <c r="A62" s="68" t="s">
        <v>95</v>
      </c>
      <c r="B62" s="70">
        <v>2</v>
      </c>
      <c r="C62" s="69">
        <v>37</v>
      </c>
      <c r="D62" s="69">
        <v>64</v>
      </c>
      <c r="E62" s="70">
        <v>0</v>
      </c>
      <c r="F62" s="77">
        <v>0</v>
      </c>
      <c r="G62" s="77">
        <v>0</v>
      </c>
      <c r="H62" s="77">
        <v>0</v>
      </c>
      <c r="I62" s="72">
        <v>12000</v>
      </c>
      <c r="J62" s="69"/>
      <c r="K62" s="69"/>
      <c r="L62" s="30">
        <v>14</v>
      </c>
      <c r="M62" s="69">
        <v>60</v>
      </c>
      <c r="N62" s="71"/>
      <c r="O62" s="68"/>
      <c r="P62" s="72">
        <v>3000</v>
      </c>
      <c r="Q62" s="68">
        <v>6000</v>
      </c>
      <c r="R62" s="68">
        <v>6000</v>
      </c>
      <c r="S62" s="71">
        <v>959786</v>
      </c>
      <c r="T62" s="71">
        <v>3845796</v>
      </c>
      <c r="U62" s="23">
        <v>0</v>
      </c>
      <c r="V62" s="23">
        <v>0</v>
      </c>
      <c r="W62" s="1" t="s">
        <v>91</v>
      </c>
    </row>
    <row r="63" spans="1:23" ht="15.75" thickBot="1" x14ac:dyDescent="0.3">
      <c r="A63" s="68" t="s">
        <v>96</v>
      </c>
      <c r="B63" s="70">
        <v>2</v>
      </c>
      <c r="C63" s="69">
        <v>37</v>
      </c>
      <c r="D63" s="69">
        <v>64</v>
      </c>
      <c r="E63" s="70">
        <v>0</v>
      </c>
      <c r="F63" s="77">
        <v>0</v>
      </c>
      <c r="G63" s="77">
        <v>0</v>
      </c>
      <c r="H63" s="77">
        <v>0</v>
      </c>
      <c r="I63" s="72">
        <v>12000</v>
      </c>
      <c r="J63" s="69"/>
      <c r="K63" s="69"/>
      <c r="L63" s="30">
        <v>14</v>
      </c>
      <c r="M63" s="69">
        <v>60</v>
      </c>
      <c r="N63" s="71"/>
      <c r="O63" s="68"/>
      <c r="P63" s="72">
        <v>3000</v>
      </c>
      <c r="Q63" s="68">
        <v>6000</v>
      </c>
      <c r="R63" s="68">
        <v>6000</v>
      </c>
      <c r="S63" s="71">
        <v>959786</v>
      </c>
      <c r="T63" s="71">
        <v>3845796</v>
      </c>
      <c r="U63" s="23">
        <v>0</v>
      </c>
      <c r="V63" s="23">
        <v>0</v>
      </c>
      <c r="W63" s="1" t="s">
        <v>91</v>
      </c>
    </row>
    <row r="64" spans="1:23" ht="15.75" thickBot="1" x14ac:dyDescent="0.3">
      <c r="A64" s="68" t="s">
        <v>97</v>
      </c>
      <c r="B64" s="69">
        <v>1</v>
      </c>
      <c r="C64" s="69">
        <v>38</v>
      </c>
      <c r="D64" s="76">
        <v>96</v>
      </c>
      <c r="E64" s="70">
        <v>0</v>
      </c>
      <c r="F64" s="77">
        <v>0</v>
      </c>
      <c r="G64" s="77">
        <v>0</v>
      </c>
      <c r="H64" s="77">
        <v>0</v>
      </c>
      <c r="I64" s="80"/>
      <c r="J64" s="69"/>
      <c r="K64" s="74"/>
      <c r="L64" s="30">
        <v>12</v>
      </c>
      <c r="M64" s="69">
        <v>60</v>
      </c>
      <c r="N64" s="71">
        <v>2250</v>
      </c>
      <c r="O64" s="68">
        <v>750</v>
      </c>
      <c r="P64" s="72"/>
      <c r="Q64" s="68">
        <v>2250</v>
      </c>
      <c r="R64" s="71">
        <v>750</v>
      </c>
      <c r="S64" s="71">
        <v>148802</v>
      </c>
      <c r="T64" s="71">
        <v>404980</v>
      </c>
      <c r="U64" s="23">
        <v>0</v>
      </c>
      <c r="V64" s="23">
        <v>0</v>
      </c>
      <c r="W64" s="1" t="s">
        <v>98</v>
      </c>
    </row>
    <row r="65" spans="1:23" ht="15.75" thickBot="1" x14ac:dyDescent="0.3">
      <c r="A65" s="68" t="s">
        <v>99</v>
      </c>
      <c r="B65" s="69">
        <v>1</v>
      </c>
      <c r="C65" s="69">
        <v>39</v>
      </c>
      <c r="D65" s="76">
        <v>96</v>
      </c>
      <c r="E65" s="70">
        <v>0</v>
      </c>
      <c r="F65" s="77">
        <v>0</v>
      </c>
      <c r="G65" s="77">
        <v>0</v>
      </c>
      <c r="H65" s="77">
        <v>0</v>
      </c>
      <c r="I65" s="80"/>
      <c r="J65" s="69"/>
      <c r="K65" s="74"/>
      <c r="L65" s="30"/>
      <c r="M65" s="75"/>
      <c r="N65" s="71">
        <v>7124</v>
      </c>
      <c r="O65" s="68"/>
      <c r="P65" s="72"/>
      <c r="Q65" s="68">
        <v>7124</v>
      </c>
      <c r="R65" s="71"/>
      <c r="S65" s="71" t="s">
        <v>118</v>
      </c>
      <c r="T65" s="71">
        <v>1278575</v>
      </c>
      <c r="U65" s="23">
        <v>0</v>
      </c>
      <c r="V65" s="23">
        <v>0</v>
      </c>
      <c r="W65" s="1" t="s">
        <v>101</v>
      </c>
    </row>
    <row r="66" spans="1:23" ht="15.75" thickBot="1" x14ac:dyDescent="0.3">
      <c r="A66" s="68" t="s">
        <v>100</v>
      </c>
      <c r="B66" s="69">
        <v>1</v>
      </c>
      <c r="C66" s="69">
        <v>39</v>
      </c>
      <c r="D66" s="76">
        <v>96</v>
      </c>
      <c r="E66" s="70">
        <v>0</v>
      </c>
      <c r="F66" s="77">
        <v>0</v>
      </c>
      <c r="G66" s="77">
        <v>0</v>
      </c>
      <c r="H66" s="77">
        <v>0</v>
      </c>
      <c r="I66" s="80"/>
      <c r="J66" s="69"/>
      <c r="K66" s="74"/>
      <c r="L66" s="30"/>
      <c r="M66" s="75"/>
      <c r="N66" s="71">
        <v>7124</v>
      </c>
      <c r="O66" s="68"/>
      <c r="P66" s="72"/>
      <c r="Q66" s="68">
        <v>7124</v>
      </c>
      <c r="R66" s="71"/>
      <c r="S66" s="71" t="s">
        <v>118</v>
      </c>
      <c r="T66" s="71">
        <v>1091750</v>
      </c>
      <c r="U66" s="23">
        <v>0</v>
      </c>
      <c r="V66" s="23">
        <v>0</v>
      </c>
      <c r="W66" s="1" t="s">
        <v>101</v>
      </c>
    </row>
    <row r="67" spans="1:23" x14ac:dyDescent="0.25">
      <c r="A67" s="68" t="s">
        <v>131</v>
      </c>
      <c r="B67" s="69">
        <v>1</v>
      </c>
      <c r="C67" s="69">
        <v>39</v>
      </c>
      <c r="D67" s="76">
        <v>96</v>
      </c>
      <c r="E67" s="70">
        <v>0</v>
      </c>
      <c r="F67" s="77">
        <v>0</v>
      </c>
      <c r="G67" s="77">
        <v>0</v>
      </c>
      <c r="H67" s="77">
        <v>0</v>
      </c>
      <c r="I67" s="80"/>
      <c r="J67" s="69"/>
      <c r="K67" s="74"/>
      <c r="L67" s="30"/>
      <c r="M67" s="75"/>
      <c r="N67" s="71">
        <v>7124</v>
      </c>
      <c r="O67" s="68"/>
      <c r="P67" s="72"/>
      <c r="Q67" s="68">
        <v>7124</v>
      </c>
      <c r="R67" s="71"/>
      <c r="S67" s="71" t="s">
        <v>118</v>
      </c>
      <c r="T67" s="71">
        <v>1091750</v>
      </c>
      <c r="U67" s="23">
        <v>0</v>
      </c>
      <c r="V67" s="23">
        <v>0</v>
      </c>
      <c r="W67" s="1"/>
    </row>
    <row r="68" spans="1:23" ht="15.75" thickBot="1" x14ac:dyDescent="0.3">
      <c r="A68" s="68" t="s">
        <v>102</v>
      </c>
      <c r="B68" s="69">
        <v>2</v>
      </c>
      <c r="C68" s="69">
        <v>40</v>
      </c>
      <c r="D68" s="69">
        <v>32</v>
      </c>
      <c r="E68" s="70">
        <v>0</v>
      </c>
      <c r="F68" s="77">
        <v>0</v>
      </c>
      <c r="G68" s="77">
        <v>0</v>
      </c>
      <c r="H68" s="77">
        <v>0</v>
      </c>
      <c r="I68" s="80"/>
      <c r="J68" s="69"/>
      <c r="K68" s="74"/>
      <c r="L68" s="30"/>
      <c r="M68" s="75">
        <v>180</v>
      </c>
      <c r="N68" s="71">
        <v>12000</v>
      </c>
      <c r="O68" s="68">
        <v>1500</v>
      </c>
      <c r="P68" s="72"/>
      <c r="Q68" s="68"/>
      <c r="R68" s="71"/>
      <c r="S68" s="78">
        <f>1400000/1.22</f>
        <v>1147540.9836065574</v>
      </c>
      <c r="T68" s="71">
        <v>1000000</v>
      </c>
      <c r="U68" s="71">
        <v>2000</v>
      </c>
      <c r="V68" s="71">
        <v>0</v>
      </c>
      <c r="W68" s="1" t="s">
        <v>104</v>
      </c>
    </row>
    <row r="69" spans="1:23" ht="15.75" thickBot="1" x14ac:dyDescent="0.3">
      <c r="A69" s="68" t="s">
        <v>112</v>
      </c>
      <c r="B69" s="69">
        <v>2</v>
      </c>
      <c r="C69" s="69">
        <v>41</v>
      </c>
      <c r="D69" s="76">
        <v>64</v>
      </c>
      <c r="E69" s="70">
        <v>0</v>
      </c>
      <c r="F69" s="77">
        <v>0</v>
      </c>
      <c r="G69" s="77">
        <v>0</v>
      </c>
      <c r="H69" s="77">
        <v>0</v>
      </c>
      <c r="I69" s="80"/>
      <c r="J69" s="69"/>
      <c r="K69" s="74"/>
      <c r="L69" s="30"/>
      <c r="M69" s="75">
        <v>180</v>
      </c>
      <c r="N69" s="71"/>
      <c r="O69" s="68"/>
      <c r="P69" s="72"/>
      <c r="Q69" s="68">
        <v>7500</v>
      </c>
      <c r="R69" s="71">
        <v>1500</v>
      </c>
      <c r="S69" s="78">
        <f>2120000/1.22</f>
        <v>1737704.9180327868</v>
      </c>
      <c r="T69" s="71">
        <v>4118223</v>
      </c>
      <c r="U69" s="23">
        <v>0</v>
      </c>
      <c r="V69" s="23">
        <v>0</v>
      </c>
      <c r="W69" s="1" t="s">
        <v>114</v>
      </c>
    </row>
    <row r="70" spans="1:23" ht="15.75" thickBot="1" x14ac:dyDescent="0.3">
      <c r="A70" s="68" t="s">
        <v>113</v>
      </c>
      <c r="B70" s="69">
        <v>2</v>
      </c>
      <c r="C70" s="69">
        <v>41</v>
      </c>
      <c r="D70" s="76">
        <v>64</v>
      </c>
      <c r="E70" s="70">
        <v>0</v>
      </c>
      <c r="F70" s="77">
        <v>0</v>
      </c>
      <c r="G70" s="77">
        <v>0</v>
      </c>
      <c r="H70" s="77">
        <v>0</v>
      </c>
      <c r="I70" s="80"/>
      <c r="J70" s="69"/>
      <c r="K70" s="74"/>
      <c r="L70" s="30"/>
      <c r="M70" s="75">
        <v>180</v>
      </c>
      <c r="N70" s="71"/>
      <c r="O70" s="68"/>
      <c r="P70" s="72"/>
      <c r="Q70" s="68">
        <v>7500</v>
      </c>
      <c r="R70" s="71">
        <v>1500</v>
      </c>
      <c r="S70" s="78">
        <f>2120000/1.22</f>
        <v>1737704.9180327868</v>
      </c>
      <c r="T70" s="71">
        <v>4118223</v>
      </c>
      <c r="U70" s="23">
        <v>0</v>
      </c>
      <c r="V70" s="23">
        <v>0</v>
      </c>
      <c r="W70" s="1" t="s">
        <v>114</v>
      </c>
    </row>
    <row r="71" spans="1:23" ht="15.75" thickBot="1" x14ac:dyDescent="0.3">
      <c r="A71" s="68" t="s">
        <v>115</v>
      </c>
      <c r="B71" s="69">
        <v>2</v>
      </c>
      <c r="C71" s="69">
        <v>42</v>
      </c>
      <c r="D71" s="76">
        <v>64</v>
      </c>
      <c r="E71" s="70">
        <v>0</v>
      </c>
      <c r="F71" s="77">
        <v>0</v>
      </c>
      <c r="G71" s="77">
        <v>0</v>
      </c>
      <c r="H71" s="77">
        <v>0</v>
      </c>
      <c r="I71" s="80"/>
      <c r="J71" s="69"/>
      <c r="K71" s="74"/>
      <c r="L71" s="30"/>
      <c r="M71" s="75">
        <v>180</v>
      </c>
      <c r="N71" s="71"/>
      <c r="O71" s="68"/>
      <c r="P71" s="72"/>
      <c r="Q71" s="68">
        <v>7500</v>
      </c>
      <c r="R71" s="71">
        <v>2000</v>
      </c>
      <c r="S71" s="78">
        <f>5500000/1.2</f>
        <v>4583333.333333334</v>
      </c>
      <c r="T71" s="71">
        <v>8544000</v>
      </c>
      <c r="U71" s="23">
        <v>0</v>
      </c>
      <c r="V71" s="23">
        <v>0</v>
      </c>
      <c r="W71" s="1" t="s">
        <v>103</v>
      </c>
    </row>
    <row r="72" spans="1:23" ht="15.75" thickBot="1" x14ac:dyDescent="0.3">
      <c r="A72" s="68" t="s">
        <v>116</v>
      </c>
      <c r="B72" s="69">
        <v>2</v>
      </c>
      <c r="C72" s="69">
        <v>42</v>
      </c>
      <c r="D72" s="76">
        <v>64</v>
      </c>
      <c r="E72" s="70">
        <v>0</v>
      </c>
      <c r="F72" s="77">
        <v>0</v>
      </c>
      <c r="G72" s="77">
        <v>0</v>
      </c>
      <c r="H72" s="77">
        <v>0</v>
      </c>
      <c r="I72" s="80"/>
      <c r="J72" s="69"/>
      <c r="K72" s="74"/>
      <c r="L72" s="30"/>
      <c r="M72" s="75">
        <v>180</v>
      </c>
      <c r="N72" s="71"/>
      <c r="O72" s="68"/>
      <c r="P72" s="72"/>
      <c r="Q72" s="68">
        <v>7500</v>
      </c>
      <c r="R72" s="71">
        <v>2000</v>
      </c>
      <c r="S72" s="78">
        <f>5500000/1.2</f>
        <v>4583333.333333334</v>
      </c>
      <c r="T72" s="71">
        <v>8544000</v>
      </c>
      <c r="U72" s="23">
        <v>0</v>
      </c>
      <c r="V72" s="23">
        <v>0</v>
      </c>
      <c r="W72" s="1" t="s">
        <v>103</v>
      </c>
    </row>
    <row r="73" spans="1:23" ht="15.75" thickBot="1" x14ac:dyDescent="0.3">
      <c r="A73" s="68" t="s">
        <v>126</v>
      </c>
      <c r="B73" s="69">
        <v>2</v>
      </c>
      <c r="C73" s="69">
        <v>42</v>
      </c>
      <c r="D73" s="76">
        <v>64</v>
      </c>
      <c r="E73" s="70">
        <v>0</v>
      </c>
      <c r="F73" s="77">
        <v>0</v>
      </c>
      <c r="G73" s="77">
        <v>0</v>
      </c>
      <c r="H73" s="77">
        <v>0</v>
      </c>
      <c r="I73" s="80"/>
      <c r="J73" s="69"/>
      <c r="K73" s="74"/>
      <c r="L73" s="30"/>
      <c r="M73" s="75">
        <v>180</v>
      </c>
      <c r="N73" s="71"/>
      <c r="O73" s="68"/>
      <c r="P73" s="72"/>
      <c r="Q73" s="68">
        <v>7500</v>
      </c>
      <c r="R73" s="71">
        <v>2000</v>
      </c>
      <c r="S73" s="78">
        <f>5500000/1.2</f>
        <v>4583333.333333334</v>
      </c>
      <c r="T73" s="71">
        <v>8544000</v>
      </c>
      <c r="U73" s="23">
        <v>0</v>
      </c>
      <c r="V73" s="23">
        <v>0</v>
      </c>
    </row>
    <row r="74" spans="1:23" ht="15.75" thickBot="1" x14ac:dyDescent="0.3">
      <c r="A74" s="68" t="s">
        <v>127</v>
      </c>
      <c r="B74" s="69">
        <v>2</v>
      </c>
      <c r="C74" s="69">
        <v>42</v>
      </c>
      <c r="D74" s="76">
        <v>64</v>
      </c>
      <c r="E74" s="70">
        <v>0</v>
      </c>
      <c r="F74" s="77">
        <v>0</v>
      </c>
      <c r="G74" s="77">
        <v>0</v>
      </c>
      <c r="H74" s="77">
        <v>0</v>
      </c>
      <c r="I74" s="80"/>
      <c r="J74" s="69"/>
      <c r="K74" s="74"/>
      <c r="L74" s="30"/>
      <c r="M74" s="75">
        <v>180</v>
      </c>
      <c r="N74" s="71"/>
      <c r="O74" s="68"/>
      <c r="P74" s="72"/>
      <c r="Q74" s="68">
        <v>7500</v>
      </c>
      <c r="R74" s="71">
        <v>2000</v>
      </c>
      <c r="S74" s="78">
        <f>5500000/1.2</f>
        <v>4583333.333333334</v>
      </c>
      <c r="T74" s="71">
        <v>8544000</v>
      </c>
      <c r="U74" s="23">
        <v>0</v>
      </c>
      <c r="V74" s="23">
        <v>0</v>
      </c>
    </row>
    <row r="75" spans="1:23" x14ac:dyDescent="0.25">
      <c r="A75" s="68" t="s">
        <v>128</v>
      </c>
      <c r="B75" s="69">
        <v>2</v>
      </c>
      <c r="C75" s="69">
        <v>42</v>
      </c>
      <c r="D75" s="76">
        <v>64</v>
      </c>
      <c r="E75" s="70">
        <v>0</v>
      </c>
      <c r="F75" s="77">
        <v>0</v>
      </c>
      <c r="G75" s="77">
        <v>0</v>
      </c>
      <c r="H75" s="77">
        <v>0</v>
      </c>
      <c r="I75" s="80"/>
      <c r="J75" s="69"/>
      <c r="K75" s="74"/>
      <c r="L75" s="30"/>
      <c r="M75" s="75">
        <v>180</v>
      </c>
      <c r="N75" s="71"/>
      <c r="O75" s="68"/>
      <c r="P75" s="72"/>
      <c r="Q75" s="68">
        <v>7500</v>
      </c>
      <c r="R75" s="71">
        <v>2000</v>
      </c>
      <c r="S75" s="78">
        <f>5500000/1.2</f>
        <v>4583333.333333334</v>
      </c>
      <c r="T75" s="71">
        <v>8544000</v>
      </c>
      <c r="U75" s="23">
        <v>0</v>
      </c>
      <c r="V75" s="23">
        <v>0</v>
      </c>
    </row>
  </sheetData>
  <autoFilter ref="A2:V39" xr:uid="{00000000-0009-0000-0000-000000000000}"/>
  <mergeCells count="2">
    <mergeCell ref="F1:G1"/>
    <mergeCell ref="U1:V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Агрегаты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2025-11-22T17:19:06Z</dcterms:modified>
  <cp:category/>
  <cp:contentStatus/>
</cp:coreProperties>
</file>