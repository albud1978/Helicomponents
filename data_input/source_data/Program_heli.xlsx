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8_{AE3E708E-0465-42A4-992F-7C52E0A70F4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2025" sheetId="8" r:id="rId1"/>
  </sheets>
  <definedNames>
    <definedName name="_xlnm.Print_Area" localSheetId="0">'2025'!$A$1:$N$1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J7" i="8" l="1" a="1"/>
  <c r="BJ7" i="8" s="1"/>
  <c r="BJ6" i="8" a="1"/>
  <c r="BJ6" i="8" s="1"/>
  <c r="AX7" i="8" a="1"/>
  <c r="AX7" i="8" s="1"/>
  <c r="AX6" i="8" a="1"/>
  <c r="AX6" i="8" s="1"/>
  <c r="AL7" i="8" a="1"/>
  <c r="AL7" i="8" s="1"/>
  <c r="AL6" i="8" a="1"/>
  <c r="AL6" i="8" s="1"/>
  <c r="Z7" i="8" a="1"/>
  <c r="Z7" i="8" s="1"/>
  <c r="Z6" i="8" a="1"/>
  <c r="Z6" i="8" s="1"/>
  <c r="N7" i="8" a="1"/>
  <c r="N7" i="8" s="1"/>
  <c r="N6" i="8" a="1"/>
  <c r="N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98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подготовка в АРК и далее Игарка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<sst xmlns="http://schemas.openxmlformats.org/spreadsheetml/2006/main" count="6" uniqueCount="6">
  <si>
    <t>ops_counter_mi8</t>
  </si>
  <si>
    <t>ops_counter_mi17</t>
  </si>
  <si>
    <t>ac_type_mask</t>
  </si>
  <si>
    <t>new</t>
  </si>
  <si>
    <t>Месяц</t>
  </si>
  <si>
    <t>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</si>
</sst>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5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  <font>
      <b/>
      <sz val="10"/>
      <color theme="1"/>
      <name val="Times New Roman"/>
      <family val="1"/>
      <charset val="204"/>
    </font>
    <font>
      <b/>
      <sz val="9"/>
      <color indexed="81"/>
      <name val="Tahoma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3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0" fontId="3" fillId="5" borderId="1" xfId="0" applyFont="1" applyFill="1" applyBorder="1" applyAlignment="1">
      <alignment horizontal="center" vertical="center" textRotation="90" wrapText="1"/>
    </xf>
    <xf numFmtId="0" fontId="3" fillId="2" borderId="1" xfId="0" applyFont="1" applyFill="1" applyBorder="1" applyAlignment="1">
      <alignment horizontal="center" vertical="center" textRotation="90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textRotation="90" wrapText="1"/>
    </xf>
    <xf numFmtId="0" fontId="1" fillId="0" borderId="0" xfId="0" applyFont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166" fontId="1" fillId="0" borderId="0" xfId="0" applyNumberFormat="1" applyFont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298"/>
  <sheetViews>
    <sheetView tabSelected="1" zoomScale="145" zoomScaleNormal="145" workbookViewId="0">
      <pane ySplit="1" topLeftCell="A2" activePane="bottomLeft" state="frozen"/>
      <selection pane="bottomLeft" activeCell="A6" sqref="A6"/>
    </sheetView>
  </sheetViews>
  <sheetFormatPr defaultRowHeight="15" x14ac:dyDescent="0.25"/>
  <cols>
    <col min="1" max="1" width="15.42578125" customWidth="1"/>
    <col min="2" max="2" width="31" bestFit="1" customWidth="1"/>
    <col min="3" max="10" width="6.5703125" customWidth="1"/>
    <col min="11" max="11" width="6.5703125" style="1" customWidth="1"/>
    <col min="12" max="14" width="6.5703125" customWidth="1"/>
  </cols>
  <sheetData>
    <row r="1" spans="1:62" ht="64.5" customHeight="1" x14ac:dyDescent="0.25">
      <c r="A1" s="2" t="s">
        <v>2</v>
      </c>
      <c r="B1" s="2" t="s">
        <v>4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4">
        <v>6</v>
      </c>
      <c r="I1" s="5">
        <v>7</v>
      </c>
      <c r="J1" s="5">
        <v>8</v>
      </c>
      <c r="K1" s="5">
        <v>9</v>
      </c>
      <c r="L1" s="5">
        <v>10</v>
      </c>
      <c r="M1" s="5">
        <v>11</v>
      </c>
      <c r="N1" s="5">
        <v>12</v>
      </c>
      <c r="O1" s="3">
        <v>1</v>
      </c>
      <c r="P1" s="3">
        <v>2</v>
      </c>
      <c r="Q1" s="3">
        <v>3</v>
      </c>
      <c r="R1" s="3">
        <v>4</v>
      </c>
      <c r="S1" s="3">
        <v>5</v>
      </c>
      <c r="T1" s="4">
        <v>6</v>
      </c>
      <c r="U1" s="5">
        <v>7</v>
      </c>
      <c r="V1" s="5">
        <v>8</v>
      </c>
      <c r="W1" s="5">
        <v>9</v>
      </c>
      <c r="X1" s="5">
        <v>10</v>
      </c>
      <c r="Y1" s="5">
        <v>11</v>
      </c>
      <c r="Z1" s="5">
        <v>12</v>
      </c>
      <c r="AA1" s="3">
        <v>1</v>
      </c>
      <c r="AB1" s="3">
        <v>2</v>
      </c>
      <c r="AC1" s="3">
        <v>3</v>
      </c>
      <c r="AD1" s="3">
        <v>4</v>
      </c>
      <c r="AE1" s="3">
        <v>5</v>
      </c>
      <c r="AF1" s="4">
        <v>6</v>
      </c>
      <c r="AG1" s="5">
        <v>7</v>
      </c>
      <c r="AH1" s="5">
        <v>8</v>
      </c>
      <c r="AI1" s="5">
        <v>9</v>
      </c>
      <c r="AJ1" s="5">
        <v>10</v>
      </c>
      <c r="AK1" s="5">
        <v>11</v>
      </c>
      <c r="AL1" s="5">
        <v>12</v>
      </c>
      <c r="AM1" s="3">
        <v>1</v>
      </c>
      <c r="AN1" s="3">
        <v>2</v>
      </c>
      <c r="AO1" s="3">
        <v>3</v>
      </c>
      <c r="AP1" s="3">
        <v>4</v>
      </c>
      <c r="AQ1" s="3">
        <v>5</v>
      </c>
      <c r="AR1" s="4">
        <v>6</v>
      </c>
      <c r="AS1" s="5">
        <v>7</v>
      </c>
      <c r="AT1" s="5">
        <v>8</v>
      </c>
      <c r="AU1" s="5">
        <v>9</v>
      </c>
      <c r="AV1" s="5">
        <v>10</v>
      </c>
      <c r="AW1" s="5">
        <v>11</v>
      </c>
      <c r="AX1" s="5">
        <v>12</v>
      </c>
      <c r="AY1" s="3">
        <v>1</v>
      </c>
      <c r="AZ1" s="3">
        <v>2</v>
      </c>
      <c r="BA1" s="3">
        <v>3</v>
      </c>
      <c r="BB1" s="3">
        <v>4</v>
      </c>
      <c r="BC1" s="3">
        <v>5</v>
      </c>
      <c r="BD1" s="4">
        <v>6</v>
      </c>
      <c r="BE1" s="5">
        <v>7</v>
      </c>
      <c r="BF1" s="5">
        <v>8</v>
      </c>
      <c r="BG1" s="5">
        <v>9</v>
      </c>
      <c r="BH1" s="5">
        <v>10</v>
      </c>
      <c r="BI1" s="5">
        <v>11</v>
      </c>
      <c r="BJ1" s="5">
        <v>12</v>
      </c>
    </row>
    <row r="2" spans="1:62" ht="64.5" customHeight="1" x14ac:dyDescent="0.25">
      <c r="A2" s="2"/>
      <c r="B2" s="2" t="s">
        <v>5</v>
      </c>
      <c r="C2" s="3">
        <v>2025</v>
      </c>
      <c r="D2" s="3">
        <v>2025</v>
      </c>
      <c r="E2" s="3">
        <v>2025</v>
      </c>
      <c r="F2" s="3">
        <v>2025</v>
      </c>
      <c r="G2" s="3">
        <v>2025</v>
      </c>
      <c r="H2" s="3">
        <v>2025</v>
      </c>
      <c r="I2" s="3">
        <v>2025</v>
      </c>
      <c r="J2" s="3">
        <v>2025</v>
      </c>
      <c r="K2" s="3">
        <v>2025</v>
      </c>
      <c r="L2" s="3">
        <v>2025</v>
      </c>
      <c r="M2" s="3">
        <v>2025</v>
      </c>
      <c r="N2" s="3">
        <v>2025</v>
      </c>
      <c r="O2" s="10">
        <v>2026</v>
      </c>
      <c r="P2" s="10">
        <v>2026</v>
      </c>
      <c r="Q2" s="10">
        <v>2026</v>
      </c>
      <c r="R2" s="10">
        <v>2026</v>
      </c>
      <c r="S2" s="10">
        <v>2026</v>
      </c>
      <c r="T2" s="10">
        <v>2026</v>
      </c>
      <c r="U2" s="10">
        <v>2026</v>
      </c>
      <c r="V2" s="10">
        <v>2026</v>
      </c>
      <c r="W2" s="10">
        <v>2026</v>
      </c>
      <c r="X2" s="10">
        <v>2026</v>
      </c>
      <c r="Y2" s="10">
        <v>2026</v>
      </c>
      <c r="Z2" s="10">
        <v>2026</v>
      </c>
      <c r="AA2" s="10">
        <v>2027</v>
      </c>
      <c r="AB2" s="10">
        <v>2027</v>
      </c>
      <c r="AC2" s="10">
        <v>2027</v>
      </c>
      <c r="AD2" s="10">
        <v>2027</v>
      </c>
      <c r="AE2" s="10">
        <v>2027</v>
      </c>
      <c r="AF2" s="10">
        <v>2027</v>
      </c>
      <c r="AG2" s="10">
        <v>2027</v>
      </c>
      <c r="AH2" s="10">
        <v>2027</v>
      </c>
      <c r="AI2" s="10">
        <v>2027</v>
      </c>
      <c r="AJ2" s="10">
        <v>2027</v>
      </c>
      <c r="AK2" s="10">
        <v>2027</v>
      </c>
      <c r="AL2" s="10">
        <v>2027</v>
      </c>
      <c r="AM2" s="10">
        <v>2028</v>
      </c>
      <c r="AN2" s="10">
        <v>2028</v>
      </c>
      <c r="AO2" s="10">
        <v>2028</v>
      </c>
      <c r="AP2" s="10">
        <v>2028</v>
      </c>
      <c r="AQ2" s="10">
        <v>2028</v>
      </c>
      <c r="AR2" s="10">
        <v>2028</v>
      </c>
      <c r="AS2" s="10">
        <v>2028</v>
      </c>
      <c r="AT2" s="10">
        <v>2028</v>
      </c>
      <c r="AU2" s="10">
        <v>2028</v>
      </c>
      <c r="AV2" s="10">
        <v>2028</v>
      </c>
      <c r="AW2" s="10">
        <v>2028</v>
      </c>
      <c r="AX2" s="10">
        <v>2028</v>
      </c>
      <c r="AY2" s="10">
        <v>2029</v>
      </c>
      <c r="AZ2" s="10">
        <v>2029</v>
      </c>
      <c r="BA2" s="10">
        <v>2029</v>
      </c>
      <c r="BB2" s="10">
        <v>2029</v>
      </c>
      <c r="BC2" s="10">
        <v>2029</v>
      </c>
      <c r="BD2" s="10">
        <v>2029</v>
      </c>
      <c r="BE2" s="10">
        <v>2029</v>
      </c>
      <c r="BF2" s="10">
        <v>2029</v>
      </c>
      <c r="BG2" s="10">
        <v>2029</v>
      </c>
      <c r="BH2" s="10">
        <v>2029</v>
      </c>
      <c r="BI2" s="10">
        <v>2029</v>
      </c>
      <c r="BJ2" s="10">
        <v>2029</v>
      </c>
    </row>
    <row r="3" spans="1:62" x14ac:dyDescent="0.25">
      <c r="A3" s="6">
        <v>32</v>
      </c>
      <c r="B3" s="6" t="s">
        <v>0</v>
      </c>
      <c r="C3" s="7">
        <v>55</v>
      </c>
      <c r="D3" s="7">
        <v>58</v>
      </c>
      <c r="E3" s="7">
        <v>58</v>
      </c>
      <c r="F3" s="7">
        <v>65</v>
      </c>
      <c r="G3" s="7">
        <v>67</v>
      </c>
      <c r="H3" s="7">
        <v>68</v>
      </c>
      <c r="I3" s="7">
        <v>68</v>
      </c>
      <c r="J3" s="7">
        <v>64</v>
      </c>
      <c r="K3" s="7">
        <v>64</v>
      </c>
      <c r="L3" s="7">
        <v>65</v>
      </c>
      <c r="M3" s="7">
        <v>68</v>
      </c>
      <c r="N3" s="7">
        <v>68</v>
      </c>
      <c r="O3">
        <v>52</v>
      </c>
      <c r="P3">
        <v>55</v>
      </c>
      <c r="Q3">
        <v>55</v>
      </c>
      <c r="R3">
        <v>62</v>
      </c>
      <c r="S3">
        <v>64</v>
      </c>
      <c r="T3">
        <v>65</v>
      </c>
      <c r="U3">
        <v>63</v>
      </c>
      <c r="V3">
        <v>62</v>
      </c>
      <c r="W3">
        <v>62</v>
      </c>
      <c r="X3">
        <v>62</v>
      </c>
      <c r="Y3">
        <v>65</v>
      </c>
      <c r="Z3">
        <v>65</v>
      </c>
      <c r="AA3">
        <v>52</v>
      </c>
      <c r="AB3">
        <v>55</v>
      </c>
      <c r="AC3">
        <v>55</v>
      </c>
      <c r="AD3">
        <v>62</v>
      </c>
      <c r="AE3">
        <v>64</v>
      </c>
      <c r="AF3">
        <v>65</v>
      </c>
      <c r="AG3">
        <v>63</v>
      </c>
      <c r="AH3">
        <v>62</v>
      </c>
      <c r="AI3">
        <v>62</v>
      </c>
      <c r="AJ3">
        <v>62</v>
      </c>
      <c r="AK3">
        <v>65</v>
      </c>
      <c r="AL3">
        <v>65</v>
      </c>
      <c r="AM3">
        <v>43</v>
      </c>
      <c r="AN3">
        <v>46</v>
      </c>
      <c r="AO3">
        <v>46</v>
      </c>
      <c r="AP3">
        <v>53</v>
      </c>
      <c r="AQ3">
        <v>55</v>
      </c>
      <c r="AR3">
        <v>56</v>
      </c>
      <c r="AS3">
        <v>54</v>
      </c>
      <c r="AT3">
        <v>53</v>
      </c>
      <c r="AU3">
        <v>53</v>
      </c>
      <c r="AV3">
        <v>53</v>
      </c>
      <c r="AW3">
        <v>56</v>
      </c>
      <c r="AX3">
        <v>56</v>
      </c>
      <c r="AY3">
        <v>38</v>
      </c>
      <c r="AZ3">
        <v>41</v>
      </c>
      <c r="BA3">
        <v>41</v>
      </c>
      <c r="BB3">
        <v>48</v>
      </c>
      <c r="BC3">
        <v>50</v>
      </c>
      <c r="BD3">
        <v>51</v>
      </c>
      <c r="BE3">
        <v>49</v>
      </c>
      <c r="BF3">
        <v>48</v>
      </c>
      <c r="BG3">
        <v>48</v>
      </c>
      <c r="BH3">
        <v>48</v>
      </c>
      <c r="BI3">
        <v>51</v>
      </c>
      <c r="BJ3">
        <v>51</v>
      </c>
    </row>
    <row r="4" spans="1:62" x14ac:dyDescent="0.25">
      <c r="A4" s="8">
        <v>64</v>
      </c>
      <c r="B4" s="8" t="s">
        <v>1</v>
      </c>
      <c r="C4" s="8">
        <v>69</v>
      </c>
      <c r="D4" s="8">
        <v>71</v>
      </c>
      <c r="E4" s="8">
        <v>74</v>
      </c>
      <c r="F4" s="8">
        <v>71</v>
      </c>
      <c r="G4" s="8">
        <v>76</v>
      </c>
      <c r="H4" s="9">
        <v>78</v>
      </c>
      <c r="I4" s="9">
        <v>75</v>
      </c>
      <c r="J4" s="8">
        <v>75</v>
      </c>
      <c r="K4" s="9">
        <v>75</v>
      </c>
      <c r="L4" s="8">
        <v>76</v>
      </c>
      <c r="M4" s="8">
        <v>75</v>
      </c>
      <c r="N4" s="8">
        <v>76</v>
      </c>
      <c r="O4" s="14">
        <v>70</v>
      </c>
      <c r="P4" s="14">
        <v>72</v>
      </c>
      <c r="Q4" s="14">
        <v>75</v>
      </c>
      <c r="R4" s="14">
        <v>75</v>
      </c>
      <c r="S4" s="14">
        <v>93</v>
      </c>
      <c r="T4" s="14">
        <v>95</v>
      </c>
      <c r="U4" s="14">
        <v>92</v>
      </c>
      <c r="V4" s="14">
        <v>92</v>
      </c>
      <c r="W4" s="14">
        <v>92</v>
      </c>
      <c r="X4" s="14">
        <v>93</v>
      </c>
      <c r="Y4" s="14">
        <v>79</v>
      </c>
      <c r="Z4" s="14">
        <v>80</v>
      </c>
      <c r="AA4" s="14">
        <v>72</v>
      </c>
      <c r="AB4" s="14">
        <v>74</v>
      </c>
      <c r="AC4" s="14">
        <v>77</v>
      </c>
      <c r="AD4" s="14">
        <v>86</v>
      </c>
      <c r="AE4" s="14">
        <v>102</v>
      </c>
      <c r="AF4" s="14">
        <v>104</v>
      </c>
      <c r="AG4" s="14">
        <v>102</v>
      </c>
      <c r="AH4" s="14">
        <v>102</v>
      </c>
      <c r="AI4" s="14">
        <v>102</v>
      </c>
      <c r="AJ4" s="14">
        <v>102</v>
      </c>
      <c r="AK4" s="14">
        <v>90</v>
      </c>
      <c r="AL4" s="14">
        <v>91</v>
      </c>
      <c r="AM4">
        <v>80</v>
      </c>
      <c r="AN4">
        <v>82</v>
      </c>
      <c r="AO4">
        <v>85</v>
      </c>
      <c r="AP4">
        <v>94</v>
      </c>
      <c r="AQ4">
        <v>110</v>
      </c>
      <c r="AR4">
        <v>112</v>
      </c>
      <c r="AS4">
        <v>110</v>
      </c>
      <c r="AT4">
        <v>110</v>
      </c>
      <c r="AU4">
        <v>110</v>
      </c>
      <c r="AV4">
        <v>110</v>
      </c>
      <c r="AW4">
        <v>98</v>
      </c>
      <c r="AX4">
        <v>99</v>
      </c>
      <c r="AY4">
        <v>84</v>
      </c>
      <c r="AZ4">
        <v>86</v>
      </c>
      <c r="BA4">
        <v>89</v>
      </c>
      <c r="BB4">
        <v>98</v>
      </c>
      <c r="BC4">
        <v>114</v>
      </c>
      <c r="BD4">
        <v>116</v>
      </c>
      <c r="BE4">
        <v>114</v>
      </c>
      <c r="BF4">
        <v>114</v>
      </c>
      <c r="BG4">
        <v>114</v>
      </c>
      <c r="BH4">
        <v>114</v>
      </c>
      <c r="BI4">
        <v>102</v>
      </c>
      <c r="BJ4">
        <v>103</v>
      </c>
    </row>
    <row r="5" spans="1:62" x14ac:dyDescent="0.25">
      <c r="A5" s="6">
        <v>64</v>
      </c>
      <c r="B5" s="6" t="s">
        <v>3</v>
      </c>
      <c r="C5" s="6"/>
      <c r="D5" s="6"/>
      <c r="E5" s="6"/>
      <c r="F5" s="6"/>
      <c r="G5" s="6"/>
      <c r="H5" s="7"/>
      <c r="I5" s="7"/>
      <c r="J5" s="6"/>
      <c r="K5" s="7"/>
      <c r="L5" s="6"/>
      <c r="M5" s="6"/>
      <c r="N5" s="6"/>
      <c r="O5" s="15"/>
      <c r="P5" s="15"/>
      <c r="Q5" s="15"/>
      <c r="R5" s="15">
        <v>2</v>
      </c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</row>
    <row r="6" spans="1:62" x14ac:dyDescent="0.25">
      <c r="A6" s="11"/>
      <c r="B6" s="11"/>
      <c r="C6" s="11"/>
      <c r="D6" s="11"/>
      <c r="E6" s="11"/>
      <c r="F6" s="11"/>
      <c r="G6" s="11"/>
      <c r="H6" s="12"/>
      <c r="I6" s="12"/>
      <c r="J6" s="11"/>
      <c r="K6" s="12"/>
      <c r="L6" s="11"/>
      <c r="M6" s="11"/>
      <c r="N6" s="13" cm="1">
        <f t="array" ref="N6">SUM(C3:N3/12)</f>
        <v>64</v>
      </c>
      <c r="Z6" s="13" cm="1">
        <f t="array" ref="Z6">SUM(O3:Z3/12)</f>
        <v>60.999999999999993</v>
      </c>
      <c r="AL6" s="13" cm="1">
        <f t="array" ref="AL6">SUM(AA3:AL3/12)</f>
        <v>60.999999999999993</v>
      </c>
      <c r="AX6" s="13" cm="1">
        <f t="array" ref="AX6">SUM(AM3:AX3/12)</f>
        <v>51.999999999999993</v>
      </c>
      <c r="BJ6" s="13" cm="1">
        <f t="array" ref="BJ6">SUM(AY3:BJ3/12)</f>
        <v>47</v>
      </c>
    </row>
    <row r="7" spans="1:62" x14ac:dyDescent="0.25">
      <c r="B7" s="11"/>
      <c r="N7" s="13" cm="1">
        <f t="array" ref="N7">SUM(C4:N4/12)</f>
        <v>74.25</v>
      </c>
      <c r="Z7" s="13" cm="1">
        <f t="array" ref="Z7">SUM(O4:Z4/12)</f>
        <v>83.999999999999986</v>
      </c>
      <c r="AL7" s="13" cm="1">
        <f t="array" ref="AL7">SUM(AA4:AL4/12)</f>
        <v>91.999999999999986</v>
      </c>
      <c r="AX7" s="13" cm="1">
        <f t="array" ref="AX7">SUM(AM4:AX4/12)</f>
        <v>100.00000000000001</v>
      </c>
      <c r="BJ7" s="13" cm="1">
        <f t="array" ref="BJ7">SUM(AY4:BJ4/12)</f>
        <v>103.99999999999999</v>
      </c>
    </row>
    <row r="298" spans="4:4" x14ac:dyDescent="0.25"/>
  </sheetData>
  <phoneticPr fontId="2" type="noConversion"/>
  <pageMargins left="0.23622047244094491" right="0.23622047244094491" top="0.74803149606299213" bottom="0.74803149606299213" header="0.31496062992125984" footer="0.31496062992125984"/>
  <pageSetup paperSize="9" scale="38" orientation="portrait" r:id="rId1"/>
  <colBreaks count="1" manualBreakCount="1">
    <brk id="14" max="11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2025</vt:lpstr>
      <vt:lpstr>'2025'!Область_печати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2025-07-18T16:52:25Z</dcterms:modified>
</cp:coreProperties>
</file>